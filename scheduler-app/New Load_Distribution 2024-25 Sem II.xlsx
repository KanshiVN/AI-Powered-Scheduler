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SE LOAD" sheetId="1" r:id="rId1"/>
    <sheet name="TE LOAD" sheetId="2" state="hidden" r:id="rId2"/>
    <sheet name="BE LOAD" sheetId="3" state="hidden" r:id="rId3"/>
    <sheet name="LOAD DISTRIBUTION-NBA" sheetId="4" r:id="rId4"/>
    <sheet name="LOAD DISTRIBUTION (2)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<sst xmlns="http://schemas.openxmlformats.org/spreadsheetml/2006/main" count="687" uniqueCount="221">
  <si>
    <t>SE Computer</t>
  </si>
  <si>
    <t>DIVISIONS</t>
  </si>
  <si>
    <t>Sr. No.</t>
  </si>
  <si>
    <t>Subject</t>
  </si>
  <si>
    <t>Teaching Scheme</t>
  </si>
  <si>
    <t>Teaching Load (3 div)</t>
  </si>
  <si>
    <t>Theory</t>
  </si>
  <si>
    <t>Practical (4 batch)</t>
  </si>
  <si>
    <t>Total Load</t>
  </si>
  <si>
    <t>Practical</t>
  </si>
  <si>
    <t>EM-III</t>
  </si>
  <si>
    <t>DSA</t>
  </si>
  <si>
    <t>SE</t>
  </si>
  <si>
    <t>MP</t>
  </si>
  <si>
    <t>PPL</t>
  </si>
  <si>
    <t>PBL</t>
  </si>
  <si>
    <t>COC</t>
  </si>
  <si>
    <t>TOTAL LOAD</t>
  </si>
  <si>
    <t>Total for 3 divisions</t>
  </si>
  <si>
    <t>SE A</t>
  </si>
  <si>
    <t>S1</t>
  </si>
  <si>
    <t>S2</t>
  </si>
  <si>
    <t>S3</t>
  </si>
  <si>
    <t>S4</t>
  </si>
  <si>
    <t>PW</t>
  </si>
  <si>
    <t>SPJ</t>
  </si>
  <si>
    <t>PD</t>
  </si>
  <si>
    <t>KB</t>
  </si>
  <si>
    <t>NB</t>
  </si>
  <si>
    <t>RSH</t>
  </si>
  <si>
    <t>SE B</t>
  </si>
  <si>
    <t>S5</t>
  </si>
  <si>
    <t>S6</t>
  </si>
  <si>
    <t>S7</t>
  </si>
  <si>
    <t>S8</t>
  </si>
  <si>
    <t>RRK</t>
  </si>
  <si>
    <t>ST</t>
  </si>
  <si>
    <t>TSW</t>
  </si>
  <si>
    <t>SS</t>
  </si>
  <si>
    <t>YP</t>
  </si>
  <si>
    <t>RN</t>
  </si>
  <si>
    <t>SE C</t>
  </si>
  <si>
    <t>S9</t>
  </si>
  <si>
    <t>S10</t>
  </si>
  <si>
    <t>S11</t>
  </si>
  <si>
    <t>S12</t>
  </si>
  <si>
    <t>HM</t>
  </si>
  <si>
    <t>SK</t>
  </si>
  <si>
    <t>DC</t>
  </si>
  <si>
    <t>VD</t>
  </si>
  <si>
    <t>PA</t>
  </si>
  <si>
    <t>TE Computer</t>
  </si>
  <si>
    <t>Teaching Load (2 Div)</t>
  </si>
  <si>
    <t>DSBDA</t>
  </si>
  <si>
    <t>WT</t>
  </si>
  <si>
    <t>AI</t>
  </si>
  <si>
    <t xml:space="preserve">ELE-II </t>
  </si>
  <si>
    <t>LP-II</t>
  </si>
  <si>
    <t>INTERN</t>
  </si>
  <si>
    <t>TOTAL LOAD for 2 Divisions</t>
  </si>
  <si>
    <t>TE A</t>
  </si>
  <si>
    <t>T1</t>
  </si>
  <si>
    <t>T2</t>
  </si>
  <si>
    <t>T3</t>
  </si>
  <si>
    <t>T4</t>
  </si>
  <si>
    <t>KHN</t>
  </si>
  <si>
    <t>RK</t>
  </si>
  <si>
    <t>ELE-II IS</t>
  </si>
  <si>
    <t>TE B</t>
  </si>
  <si>
    <t>T5</t>
  </si>
  <si>
    <t>T6</t>
  </si>
  <si>
    <t>T7</t>
  </si>
  <si>
    <t>T8</t>
  </si>
  <si>
    <t>SUS</t>
  </si>
  <si>
    <t>ELE-II CC</t>
  </si>
  <si>
    <t>BE Computer</t>
  </si>
  <si>
    <t>Teaching Load</t>
  </si>
  <si>
    <t>Practical (4 Batch)</t>
  </si>
  <si>
    <t>HPC</t>
  </si>
  <si>
    <t>DL</t>
  </si>
  <si>
    <t>ELE-V IP</t>
  </si>
  <si>
    <t>ELE-VI BI</t>
  </si>
  <si>
    <t>LP V</t>
  </si>
  <si>
    <t>LP VI</t>
  </si>
  <si>
    <t>PROJ. STG. II</t>
  </si>
  <si>
    <t>TOTAL LOAD for 2 divisions</t>
  </si>
  <si>
    <t>BE A</t>
  </si>
  <si>
    <t>B1</t>
  </si>
  <si>
    <t>B2</t>
  </si>
  <si>
    <t>B3</t>
  </si>
  <si>
    <t>B4</t>
  </si>
  <si>
    <t>X</t>
  </si>
  <si>
    <t>BE B</t>
  </si>
  <si>
    <t>B5</t>
  </si>
  <si>
    <t>B6</t>
  </si>
  <si>
    <t>B7</t>
  </si>
  <si>
    <t>B8</t>
  </si>
  <si>
    <t>Y</t>
  </si>
  <si>
    <t>Class</t>
  </si>
  <si>
    <t>Hrs/Wk</t>
  </si>
  <si>
    <t>Alloted</t>
  </si>
  <si>
    <t>Unengaged</t>
  </si>
  <si>
    <t>Total</t>
  </si>
  <si>
    <t>NMVPM's &amp; PCET's</t>
  </si>
  <si>
    <t>Nutan Maharashtra Institute of Engineering and Technology</t>
  </si>
  <si>
    <t>Department of Computer Engineering</t>
  </si>
  <si>
    <t>Load Distribution for Sem - II Year : 2024-25</t>
  </si>
  <si>
    <t>Name of Faculty</t>
  </si>
  <si>
    <t>Tut</t>
  </si>
  <si>
    <t>Project</t>
  </si>
  <si>
    <t>Dr. Prasad Dhore</t>
  </si>
  <si>
    <t>SE A - SE</t>
  </si>
  <si>
    <t>PROF. SHITAL JADE</t>
  </si>
  <si>
    <t>SE A - PBL</t>
  </si>
  <si>
    <t>SONU KHAPEKAR</t>
  </si>
  <si>
    <t>Dr. Saurabh Saoji</t>
  </si>
  <si>
    <t>TE B - WT</t>
  </si>
  <si>
    <t>PROF. KAVYASHREE H.N.</t>
  </si>
  <si>
    <t>PROF.TUSHAR WAYKOLE</t>
  </si>
  <si>
    <t>Dr. Rohini Hanchate</t>
  </si>
  <si>
    <t>TE B - DSBDA</t>
  </si>
  <si>
    <t>PROF. ROHINI HANCHATE</t>
  </si>
  <si>
    <t>PROF. PRITAM RAMESH AHIRE</t>
  </si>
  <si>
    <t>PROF. SATYAJIT SIRSAT</t>
  </si>
  <si>
    <t>Prof. Tushar Waykole</t>
  </si>
  <si>
    <t>SE B - MP</t>
  </si>
  <si>
    <t>DR. SAURABH UDAY SAOJI</t>
  </si>
  <si>
    <t>SE B - COC</t>
  </si>
  <si>
    <t>MRS. NEHA BHAGWAT</t>
  </si>
  <si>
    <t>MRS. RENUKA RAJENDRA KAJALE</t>
  </si>
  <si>
    <t>Prof. Shital Jade</t>
  </si>
  <si>
    <t>SE A - PPL</t>
  </si>
  <si>
    <t>MRS. RUPALI SACHIN KALDOKE</t>
  </si>
  <si>
    <t>SE A - COC</t>
  </si>
  <si>
    <t>MRS. HEMLATA HANAMANT MANE</t>
  </si>
  <si>
    <t>SE - DSAL</t>
  </si>
  <si>
    <t>MRS. ROSHNI YOGESH NARKHEDE</t>
  </si>
  <si>
    <t>Prof. Pritam Ahire</t>
  </si>
  <si>
    <t>TE A - DSBDA</t>
  </si>
  <si>
    <t>PROF. SMITA MANGESH THUBE</t>
  </si>
  <si>
    <t>SE C - PBL</t>
  </si>
  <si>
    <t>PROF. KIRTI K. (JARE) BORHADE</t>
  </si>
  <si>
    <t>Prof. Satyajit Sirsat</t>
  </si>
  <si>
    <t>TE - ELE II CC</t>
  </si>
  <si>
    <t>DR.PRASAD DHORE</t>
  </si>
  <si>
    <t>TE B - LP II</t>
  </si>
  <si>
    <t>PRACHI WAGHMARE</t>
  </si>
  <si>
    <t>SE B - PBL</t>
  </si>
  <si>
    <t>DIPMALA CHAUDHARI</t>
  </si>
  <si>
    <t>Prof. Neha Bhagwat</t>
  </si>
  <si>
    <t>TE A - AI</t>
  </si>
  <si>
    <t>VAISHALI DHAWAS</t>
  </si>
  <si>
    <t>BE A - HPC</t>
  </si>
  <si>
    <t>MS.SUJATA  S GORE</t>
  </si>
  <si>
    <t>BE A - LP V</t>
  </si>
  <si>
    <t>PROF.SANTOSH GORE</t>
  </si>
  <si>
    <t>PROF.PRASHANT GANGURDE</t>
  </si>
  <si>
    <t>Prof. Renuka Kajale</t>
  </si>
  <si>
    <t>TE B - AI</t>
  </si>
  <si>
    <t>PROF YOGESH KOLHE</t>
  </si>
  <si>
    <t>PROF.DHANASHRI BENDALE</t>
  </si>
  <si>
    <t>PROF.VARAD KARAD</t>
  </si>
  <si>
    <t>Prof. Sonu Khapekar</t>
  </si>
  <si>
    <t>TE A - WT</t>
  </si>
  <si>
    <t>PROF KOMAL SANAP</t>
  </si>
  <si>
    <t>BE A - ELE VI BI</t>
  </si>
  <si>
    <t>Prof. Rupali Kaldoke</t>
  </si>
  <si>
    <t>SE B - DSA</t>
  </si>
  <si>
    <t>Prof. Hemlata Mane</t>
  </si>
  <si>
    <t>SE C - DSA</t>
  </si>
  <si>
    <t>BE B - LP VI</t>
  </si>
  <si>
    <t>Prof. Kavyashree HN</t>
  </si>
  <si>
    <t>SE C - SE</t>
  </si>
  <si>
    <t>BE B - DL</t>
  </si>
  <si>
    <t>SE C - COC</t>
  </si>
  <si>
    <t>Prof. Kirti Borhade</t>
  </si>
  <si>
    <t>SE C - MP</t>
  </si>
  <si>
    <t>BE B - LP V</t>
  </si>
  <si>
    <t>Prof. Smita Thube</t>
  </si>
  <si>
    <t>SE B - SE</t>
  </si>
  <si>
    <t>Prof. Prachi Waghmare</t>
  </si>
  <si>
    <t>SE A - DSA</t>
  </si>
  <si>
    <t>Prof. Deepmala Chaudhari</t>
  </si>
  <si>
    <t>SE A - MP</t>
  </si>
  <si>
    <t>Prof. Roshni Narkhede</t>
  </si>
  <si>
    <t>SE B - PPL</t>
  </si>
  <si>
    <t>BE B - BI</t>
  </si>
  <si>
    <t>TE A - LP II</t>
  </si>
  <si>
    <t>Prof. Vaishali Dhawas</t>
  </si>
  <si>
    <t>Prof. Shankarrao Ugale</t>
  </si>
  <si>
    <t>SE A- EM</t>
  </si>
  <si>
    <t>SE B- EM</t>
  </si>
  <si>
    <t>Prof. Yadav</t>
  </si>
  <si>
    <t>Prof. Bhimrao Gaikwad</t>
  </si>
  <si>
    <t>SE C- EM</t>
  </si>
  <si>
    <t>Prof. Vallabh Shinde</t>
  </si>
  <si>
    <t>SE C - PPL</t>
  </si>
  <si>
    <t>BE A - LP VI</t>
  </si>
  <si>
    <t>BE B - HPC</t>
  </si>
  <si>
    <t>BE - LP VI</t>
  </si>
  <si>
    <t>BE A - DL</t>
  </si>
  <si>
    <t>BE A - IP</t>
  </si>
  <si>
    <t>BE B - IP</t>
  </si>
  <si>
    <t>Academic Coordinator</t>
  </si>
  <si>
    <t>HOD (Comp.Engg.)</t>
  </si>
  <si>
    <t>Dr. Renuka Gound</t>
  </si>
  <si>
    <t xml:space="preserve">3 Divisions </t>
  </si>
  <si>
    <t>Tutorial/ Practical (4 batch)</t>
  </si>
  <si>
    <t>Tutorial/ Practical</t>
  </si>
  <si>
    <t>1*4</t>
  </si>
  <si>
    <t>3*1*4</t>
  </si>
  <si>
    <t>4*4</t>
  </si>
  <si>
    <t>3*4*4</t>
  </si>
  <si>
    <t>2*4</t>
  </si>
  <si>
    <t>3*2*4</t>
  </si>
  <si>
    <t xml:space="preserve">2 Divisions </t>
  </si>
  <si>
    <t>2*4*4</t>
  </si>
  <si>
    <t>2*2*4</t>
  </si>
  <si>
    <t>2 Divisions</t>
  </si>
  <si>
    <t>6*4</t>
  </si>
  <si>
    <t>2*6*4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</si>
</sst>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1"/>
      <color rgb="FFFF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</font>
    <font>
      <b/>
      <sz val="11"/>
      <color theme="1"/>
      <name val="Times New Roman"/>
      <charset val="134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3" fillId="0" borderId="1" xfId="0" applyFont="1" applyBorder="1" applyAlignment="1">
      <alignment horizontal="center" vertical="center"/>
    </xf>
    <xf numFmtId="0" fontId="5" fillId="0" borderId="3" xfId="0" applyFont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8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/>
    <xf numFmtId="0" fontId="8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6" xfId="0" applyFont="1" applyBorder="1"/>
    <xf numFmtId="0" fontId="7" fillId="0" borderId="4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4" fillId="0" borderId="6" xfId="0" applyFont="1" applyBorder="1"/>
    <xf numFmtId="0" fontId="4" fillId="0" borderId="2" xfId="0" applyFont="1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A1" sqref="A1"/>
    </sheetView>
  </sheetViews>
  <sheetFormatPr defaultColWidth="14.4259259259259" defaultRowHeight="15" customHeight="1"/>
  <cols>
    <col min="1" max="1" width="7.57407407407407" customWidth="1"/>
    <col min="2" max="2" width="14.5740740740741" customWidth="1"/>
    <col min="3" max="3" width="7.85185185185185" customWidth="1"/>
    <col min="4" max="4" width="9.28703703703704" customWidth="1"/>
    <col min="5" max="5" width="11.4259259259259" customWidth="1"/>
    <col min="6" max="7" width="8.71296296296296" customWidth="1"/>
    <col min="8" max="8" width="9.85185185185185" customWidth="1"/>
    <col min="9" max="23" width="8.71296296296296" customWidth="1"/>
  </cols>
  <sheetData>
    <row r="1" ht="14.4" spans="1:5">
      <c r="A1" s="50"/>
      <c r="B1" s="50"/>
      <c r="C1" s="50"/>
      <c r="D1" s="50"/>
      <c r="E1" s="50"/>
    </row>
    <row r="2" ht="15.6" spans="1:5">
      <c r="A2" s="51"/>
      <c r="B2" s="51"/>
      <c r="C2" s="51"/>
      <c r="D2" s="51"/>
      <c r="E2" s="51"/>
    </row>
    <row r="3" ht="15.6" spans="1:5">
      <c r="A3" s="51"/>
      <c r="D3" s="51"/>
      <c r="E3" s="51"/>
    </row>
    <row r="4" ht="14.4" spans="1:11">
      <c r="A4" s="52"/>
      <c r="B4" s="52" t="s">
        <v>0</v>
      </c>
      <c r="C4" s="52"/>
      <c r="D4" s="52"/>
      <c r="E4" s="52"/>
      <c r="G4" s="4"/>
      <c r="H4" s="24" t="s">
        <v>1</v>
      </c>
      <c r="I4" s="4">
        <v>3</v>
      </c>
      <c r="J4" s="4"/>
      <c r="K4" s="4"/>
    </row>
    <row r="5" ht="15.6" spans="1:11">
      <c r="A5" s="3"/>
      <c r="B5" s="3"/>
      <c r="C5" s="3"/>
      <c r="D5" s="3"/>
      <c r="E5" s="3"/>
      <c r="G5" s="4"/>
      <c r="H5" s="4"/>
      <c r="I5" s="4"/>
      <c r="J5" s="4"/>
      <c r="K5" s="4"/>
    </row>
    <row r="6" ht="15.6" spans="1:11">
      <c r="A6" s="13" t="s">
        <v>2</v>
      </c>
      <c r="B6" s="14" t="s">
        <v>3</v>
      </c>
      <c r="C6" s="7" t="s">
        <v>4</v>
      </c>
      <c r="D6" s="8"/>
      <c r="E6" s="6"/>
      <c r="G6" s="13" t="s">
        <v>2</v>
      </c>
      <c r="H6" s="14" t="s">
        <v>3</v>
      </c>
      <c r="I6" s="7" t="s">
        <v>5</v>
      </c>
      <c r="J6" s="8"/>
      <c r="K6" s="6"/>
    </row>
    <row r="7" ht="31.2" spans="1:11">
      <c r="A7" s="29"/>
      <c r="B7" s="29"/>
      <c r="C7" s="11" t="s">
        <v>6</v>
      </c>
      <c r="D7" s="12" t="s">
        <v>7</v>
      </c>
      <c r="E7" s="12" t="s">
        <v>8</v>
      </c>
      <c r="G7" s="53"/>
      <c r="H7" s="54"/>
      <c r="I7" s="11" t="s">
        <v>6</v>
      </c>
      <c r="J7" s="11" t="s">
        <v>9</v>
      </c>
      <c r="K7" s="12" t="s">
        <v>8</v>
      </c>
    </row>
    <row r="8" ht="14.4" spans="1:11">
      <c r="A8" s="15">
        <v>1</v>
      </c>
      <c r="B8" s="16" t="s">
        <v>10</v>
      </c>
      <c r="C8" s="16">
        <v>3</v>
      </c>
      <c r="D8" s="16">
        <v>4</v>
      </c>
      <c r="E8" s="15">
        <f t="shared" ref="E8:E14" si="0">C8+D8</f>
        <v>7</v>
      </c>
      <c r="G8" s="15">
        <v>1</v>
      </c>
      <c r="H8" s="16" t="s">
        <v>10</v>
      </c>
      <c r="I8" s="16">
        <f t="shared" ref="I8:J8" si="1">C8*3</f>
        <v>9</v>
      </c>
      <c r="J8" s="16">
        <f t="shared" si="1"/>
        <v>12</v>
      </c>
      <c r="K8" s="15">
        <f t="shared" ref="K8:K14" si="2">I8+J8</f>
        <v>21</v>
      </c>
    </row>
    <row r="9" ht="14.4" spans="1:11">
      <c r="A9" s="17">
        <v>2</v>
      </c>
      <c r="B9" s="18" t="s">
        <v>11</v>
      </c>
      <c r="C9" s="18">
        <v>3</v>
      </c>
      <c r="D9" s="18">
        <v>16</v>
      </c>
      <c r="E9" s="17">
        <f t="shared" si="0"/>
        <v>19</v>
      </c>
      <c r="G9" s="17">
        <v>2</v>
      </c>
      <c r="H9" s="18" t="s">
        <v>11</v>
      </c>
      <c r="I9" s="18">
        <f t="shared" ref="I9:J9" si="3">C9*3</f>
        <v>9</v>
      </c>
      <c r="J9" s="18">
        <f t="shared" si="3"/>
        <v>48</v>
      </c>
      <c r="K9" s="17">
        <f t="shared" si="2"/>
        <v>57</v>
      </c>
    </row>
    <row r="10" ht="14.4" spans="1:11">
      <c r="A10" s="17">
        <v>3</v>
      </c>
      <c r="B10" s="18" t="s">
        <v>12</v>
      </c>
      <c r="C10" s="18">
        <v>3</v>
      </c>
      <c r="D10" s="18"/>
      <c r="E10" s="17">
        <f t="shared" si="0"/>
        <v>3</v>
      </c>
      <c r="G10" s="17">
        <v>3</v>
      </c>
      <c r="H10" s="18" t="s">
        <v>12</v>
      </c>
      <c r="I10" s="18">
        <f t="shared" ref="I10:J10" si="4">C10*3</f>
        <v>9</v>
      </c>
      <c r="J10" s="18">
        <f t="shared" si="4"/>
        <v>0</v>
      </c>
      <c r="K10" s="17">
        <f t="shared" si="2"/>
        <v>9</v>
      </c>
    </row>
    <row r="11" ht="14.4" spans="1:11">
      <c r="A11" s="17">
        <v>4</v>
      </c>
      <c r="B11" s="18" t="s">
        <v>13</v>
      </c>
      <c r="C11" s="18">
        <v>3</v>
      </c>
      <c r="D11" s="18">
        <v>8</v>
      </c>
      <c r="E11" s="17">
        <f t="shared" si="0"/>
        <v>11</v>
      </c>
      <c r="G11" s="17">
        <v>4</v>
      </c>
      <c r="H11" s="18" t="s">
        <v>13</v>
      </c>
      <c r="I11" s="18">
        <f t="shared" ref="I11:J11" si="5">C11*3</f>
        <v>9</v>
      </c>
      <c r="J11" s="18">
        <f t="shared" si="5"/>
        <v>24</v>
      </c>
      <c r="K11" s="17">
        <f t="shared" si="2"/>
        <v>33</v>
      </c>
    </row>
    <row r="12" ht="14.4" spans="1:11">
      <c r="A12" s="17">
        <v>5</v>
      </c>
      <c r="B12" s="18" t="s">
        <v>14</v>
      </c>
      <c r="C12" s="18">
        <v>3</v>
      </c>
      <c r="D12" s="18"/>
      <c r="E12" s="17">
        <f t="shared" si="0"/>
        <v>3</v>
      </c>
      <c r="G12" s="17">
        <v>5</v>
      </c>
      <c r="H12" s="18" t="s">
        <v>14</v>
      </c>
      <c r="I12" s="18">
        <f t="shared" ref="I12:J12" si="6">C12*3</f>
        <v>9</v>
      </c>
      <c r="J12" s="18">
        <f t="shared" si="6"/>
        <v>0</v>
      </c>
      <c r="K12" s="17">
        <f t="shared" si="2"/>
        <v>9</v>
      </c>
    </row>
    <row r="13" ht="14.4" spans="1:11">
      <c r="A13" s="17">
        <v>6</v>
      </c>
      <c r="B13" s="18" t="s">
        <v>15</v>
      </c>
      <c r="C13" s="18"/>
      <c r="D13" s="18">
        <v>16</v>
      </c>
      <c r="E13" s="17">
        <f t="shared" si="0"/>
        <v>16</v>
      </c>
      <c r="G13" s="17">
        <v>6</v>
      </c>
      <c r="H13" s="18" t="s">
        <v>15</v>
      </c>
      <c r="I13" s="18">
        <f t="shared" ref="I13:J13" si="7">C13*3</f>
        <v>0</v>
      </c>
      <c r="J13" s="18">
        <f t="shared" si="7"/>
        <v>48</v>
      </c>
      <c r="K13" s="17">
        <f t="shared" si="2"/>
        <v>48</v>
      </c>
    </row>
    <row r="14" ht="14.4" spans="1:11">
      <c r="A14" s="17">
        <v>7</v>
      </c>
      <c r="B14" s="18" t="s">
        <v>16</v>
      </c>
      <c r="C14" s="18">
        <v>1</v>
      </c>
      <c r="D14" s="18"/>
      <c r="E14" s="17">
        <f t="shared" si="0"/>
        <v>1</v>
      </c>
      <c r="G14" s="19">
        <v>7</v>
      </c>
      <c r="H14" s="20" t="s">
        <v>16</v>
      </c>
      <c r="I14" s="20">
        <f t="shared" ref="I14:J14" si="8">C14*3</f>
        <v>3</v>
      </c>
      <c r="J14" s="18">
        <f t="shared" si="8"/>
        <v>0</v>
      </c>
      <c r="K14" s="17">
        <f t="shared" si="2"/>
        <v>3</v>
      </c>
    </row>
    <row r="15" ht="14.4" spans="1:11">
      <c r="A15" s="21" t="s">
        <v>17</v>
      </c>
      <c r="B15" s="8"/>
      <c r="C15" s="8"/>
      <c r="D15" s="6"/>
      <c r="E15" s="22">
        <f>SUM(E8:E14)</f>
        <v>60</v>
      </c>
      <c r="G15" s="23" t="s">
        <v>18</v>
      </c>
      <c r="H15" s="8"/>
      <c r="I15" s="8"/>
      <c r="J15" s="6"/>
      <c r="K15" s="28">
        <f>SUM(K8:K14)</f>
        <v>180</v>
      </c>
    </row>
    <row r="21" ht="15.75" customHeight="1"/>
    <row r="22" ht="15.75" customHeight="1" spans="1:10">
      <c r="A22" s="13" t="s">
        <v>2</v>
      </c>
      <c r="B22" s="14" t="s">
        <v>3</v>
      </c>
      <c r="C22" s="7" t="s">
        <v>19</v>
      </c>
      <c r="D22" s="8"/>
      <c r="E22" s="8"/>
      <c r="F22" s="8"/>
      <c r="G22" s="8"/>
      <c r="H22" s="8"/>
      <c r="I22" s="8"/>
      <c r="J22" s="6"/>
    </row>
    <row r="23" ht="15.75" customHeight="1" spans="1:10">
      <c r="A23" s="29"/>
      <c r="B23" s="29"/>
      <c r="C23" s="11" t="s">
        <v>6</v>
      </c>
      <c r="D23" s="11"/>
      <c r="E23" s="11" t="s">
        <v>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8</v>
      </c>
    </row>
    <row r="24" ht="15.75" customHeight="1" spans="1:10">
      <c r="A24" s="15">
        <v>1</v>
      </c>
      <c r="B24" s="16" t="s">
        <v>10</v>
      </c>
      <c r="C24" s="16">
        <v>3</v>
      </c>
      <c r="D24" s="16"/>
      <c r="E24" s="18">
        <f t="shared" ref="E24:E30" si="9">D8</f>
        <v>4</v>
      </c>
      <c r="F24" s="15"/>
      <c r="G24" s="15"/>
      <c r="H24" s="15"/>
      <c r="I24" s="15"/>
      <c r="J24" s="15">
        <f t="shared" ref="J24:J30" si="10">C24+E24</f>
        <v>7</v>
      </c>
    </row>
    <row r="25" ht="15.75" customHeight="1" spans="1:10">
      <c r="A25" s="17">
        <v>2</v>
      </c>
      <c r="B25" s="18" t="s">
        <v>11</v>
      </c>
      <c r="C25" s="18">
        <v>3</v>
      </c>
      <c r="D25" s="18" t="s">
        <v>24</v>
      </c>
      <c r="E25" s="18">
        <f t="shared" si="9"/>
        <v>16</v>
      </c>
      <c r="F25" s="17" t="s">
        <v>24</v>
      </c>
      <c r="G25" s="17" t="s">
        <v>24</v>
      </c>
      <c r="H25" s="17" t="s">
        <v>24</v>
      </c>
      <c r="I25" s="17" t="s">
        <v>25</v>
      </c>
      <c r="J25" s="17">
        <f t="shared" si="10"/>
        <v>19</v>
      </c>
    </row>
    <row r="26" ht="15.75" customHeight="1" spans="1:10">
      <c r="A26" s="17">
        <v>3</v>
      </c>
      <c r="B26" s="18" t="s">
        <v>12</v>
      </c>
      <c r="C26" s="18">
        <v>3</v>
      </c>
      <c r="D26" s="18" t="s">
        <v>26</v>
      </c>
      <c r="E26" s="18">
        <f t="shared" si="9"/>
        <v>0</v>
      </c>
      <c r="F26" s="17"/>
      <c r="G26" s="17"/>
      <c r="H26" s="17"/>
      <c r="I26" s="17"/>
      <c r="J26" s="17">
        <f t="shared" si="10"/>
        <v>3</v>
      </c>
    </row>
    <row r="27" ht="15.75" customHeight="1" spans="1:10">
      <c r="A27" s="17">
        <v>4</v>
      </c>
      <c r="B27" s="18" t="s">
        <v>13</v>
      </c>
      <c r="C27" s="18">
        <v>3</v>
      </c>
      <c r="D27" s="18" t="s">
        <v>27</v>
      </c>
      <c r="E27" s="18">
        <f t="shared" si="9"/>
        <v>8</v>
      </c>
      <c r="F27" s="17" t="s">
        <v>27</v>
      </c>
      <c r="G27" s="17" t="s">
        <v>27</v>
      </c>
      <c r="H27" s="17" t="s">
        <v>27</v>
      </c>
      <c r="I27" s="17" t="s">
        <v>27</v>
      </c>
      <c r="J27" s="17">
        <f t="shared" si="10"/>
        <v>11</v>
      </c>
    </row>
    <row r="28" ht="15.75" customHeight="1" spans="1:10">
      <c r="A28" s="17">
        <v>5</v>
      </c>
      <c r="B28" s="18" t="s">
        <v>14</v>
      </c>
      <c r="C28" s="18">
        <v>3</v>
      </c>
      <c r="D28" s="18" t="s">
        <v>25</v>
      </c>
      <c r="E28" s="18">
        <f t="shared" si="9"/>
        <v>0</v>
      </c>
      <c r="F28" s="17"/>
      <c r="G28" s="17"/>
      <c r="H28" s="17"/>
      <c r="I28" s="17"/>
      <c r="J28" s="17">
        <f t="shared" si="10"/>
        <v>3</v>
      </c>
    </row>
    <row r="29" ht="15.75" customHeight="1" spans="1:10">
      <c r="A29" s="17">
        <v>6</v>
      </c>
      <c r="B29" s="18" t="s">
        <v>15</v>
      </c>
      <c r="C29" s="18">
        <v>0</v>
      </c>
      <c r="D29" s="18"/>
      <c r="E29" s="18">
        <f t="shared" si="9"/>
        <v>16</v>
      </c>
      <c r="F29" s="17" t="s">
        <v>26</v>
      </c>
      <c r="G29" s="17" t="s">
        <v>26</v>
      </c>
      <c r="H29" s="17" t="s">
        <v>28</v>
      </c>
      <c r="I29" s="17" t="s">
        <v>29</v>
      </c>
      <c r="J29" s="17">
        <f t="shared" si="10"/>
        <v>16</v>
      </c>
    </row>
    <row r="30" ht="15.75" customHeight="1" spans="1:10">
      <c r="A30" s="17">
        <v>7</v>
      </c>
      <c r="B30" s="18" t="s">
        <v>16</v>
      </c>
      <c r="C30" s="18">
        <v>1</v>
      </c>
      <c r="D30" s="18" t="s">
        <v>25</v>
      </c>
      <c r="E30" s="18">
        <f t="shared" si="9"/>
        <v>0</v>
      </c>
      <c r="F30" s="17"/>
      <c r="G30" s="17"/>
      <c r="H30" s="17"/>
      <c r="I30" s="17"/>
      <c r="J30" s="17">
        <f t="shared" si="10"/>
        <v>1</v>
      </c>
    </row>
    <row r="31" ht="15.75" customHeight="1" spans="1:10">
      <c r="A31" s="21" t="s">
        <v>17</v>
      </c>
      <c r="B31" s="8"/>
      <c r="C31" s="8"/>
      <c r="D31" s="8"/>
      <c r="E31" s="8"/>
      <c r="F31" s="8"/>
      <c r="G31" s="8"/>
      <c r="H31" s="8"/>
      <c r="I31" s="6"/>
      <c r="J31" s="27">
        <f>SUM(J24:J30)</f>
        <v>60</v>
      </c>
    </row>
    <row r="32" ht="15.75" customHeight="1"/>
    <row r="33" ht="15.75" customHeight="1"/>
    <row r="34" ht="15.75" customHeight="1"/>
    <row r="35" ht="15.75" customHeight="1" spans="1:10">
      <c r="A35" s="13" t="s">
        <v>2</v>
      </c>
      <c r="B35" s="14" t="s">
        <v>3</v>
      </c>
      <c r="C35" s="7" t="s">
        <v>30</v>
      </c>
      <c r="D35" s="8"/>
      <c r="E35" s="8"/>
      <c r="F35" s="8"/>
      <c r="G35" s="8"/>
      <c r="H35" s="8"/>
      <c r="I35" s="8"/>
      <c r="J35" s="6"/>
    </row>
    <row r="36" ht="15.75" customHeight="1" spans="1:10">
      <c r="A36" s="29"/>
      <c r="B36" s="29"/>
      <c r="C36" s="11" t="s">
        <v>6</v>
      </c>
      <c r="D36" s="11"/>
      <c r="E36" s="11" t="s">
        <v>9</v>
      </c>
      <c r="F36" s="12" t="s">
        <v>31</v>
      </c>
      <c r="G36" s="12" t="s">
        <v>32</v>
      </c>
      <c r="H36" s="12" t="s">
        <v>33</v>
      </c>
      <c r="I36" s="12" t="s">
        <v>34</v>
      </c>
      <c r="J36" s="12" t="s">
        <v>8</v>
      </c>
    </row>
    <row r="37" ht="15.75" customHeight="1" spans="1:10">
      <c r="A37" s="15">
        <v>1</v>
      </c>
      <c r="B37" s="16" t="s">
        <v>10</v>
      </c>
      <c r="C37" s="16">
        <f t="shared" ref="C37:C43" si="11">C24</f>
        <v>3</v>
      </c>
      <c r="D37" s="16"/>
      <c r="E37" s="18">
        <f t="shared" ref="E37:E43" si="12">E24</f>
        <v>4</v>
      </c>
      <c r="F37" s="15"/>
      <c r="G37" s="15"/>
      <c r="H37" s="15"/>
      <c r="I37" s="15"/>
      <c r="J37" s="15">
        <f t="shared" ref="J37:J43" si="13">C37+E37</f>
        <v>7</v>
      </c>
    </row>
    <row r="38" ht="15.75" customHeight="1" spans="1:10">
      <c r="A38" s="17">
        <v>2</v>
      </c>
      <c r="B38" s="18" t="s">
        <v>11</v>
      </c>
      <c r="C38" s="18">
        <f t="shared" si="11"/>
        <v>3</v>
      </c>
      <c r="D38" s="18" t="s">
        <v>35</v>
      </c>
      <c r="E38" s="18">
        <f t="shared" si="12"/>
        <v>16</v>
      </c>
      <c r="F38" s="17" t="s">
        <v>35</v>
      </c>
      <c r="G38" s="17" t="s">
        <v>35</v>
      </c>
      <c r="H38" s="17" t="s">
        <v>35</v>
      </c>
      <c r="I38" s="17" t="s">
        <v>25</v>
      </c>
      <c r="J38" s="17">
        <f t="shared" si="13"/>
        <v>19</v>
      </c>
    </row>
    <row r="39" ht="15.75" customHeight="1" spans="1:10">
      <c r="A39" s="17">
        <v>3</v>
      </c>
      <c r="B39" s="18" t="s">
        <v>12</v>
      </c>
      <c r="C39" s="18">
        <f t="shared" si="11"/>
        <v>3</v>
      </c>
      <c r="D39" s="18" t="s">
        <v>36</v>
      </c>
      <c r="E39" s="18">
        <f t="shared" si="12"/>
        <v>0</v>
      </c>
      <c r="F39" s="17"/>
      <c r="G39" s="17"/>
      <c r="H39" s="17"/>
      <c r="I39" s="17"/>
      <c r="J39" s="17">
        <f t="shared" si="13"/>
        <v>3</v>
      </c>
    </row>
    <row r="40" ht="15.75" customHeight="1" spans="1:10">
      <c r="A40" s="17">
        <v>4</v>
      </c>
      <c r="B40" s="18" t="s">
        <v>13</v>
      </c>
      <c r="C40" s="18">
        <f t="shared" si="11"/>
        <v>3</v>
      </c>
      <c r="D40" s="18" t="s">
        <v>37</v>
      </c>
      <c r="E40" s="18">
        <f t="shared" si="12"/>
        <v>8</v>
      </c>
      <c r="F40" s="17" t="s">
        <v>37</v>
      </c>
      <c r="G40" s="17" t="s">
        <v>37</v>
      </c>
      <c r="H40" s="17" t="s">
        <v>37</v>
      </c>
      <c r="I40" s="17" t="s">
        <v>37</v>
      </c>
      <c r="J40" s="17">
        <f t="shared" si="13"/>
        <v>11</v>
      </c>
    </row>
    <row r="41" ht="15.75" customHeight="1" spans="1:10">
      <c r="A41" s="17">
        <v>5</v>
      </c>
      <c r="B41" s="18" t="s">
        <v>14</v>
      </c>
      <c r="C41" s="18">
        <f t="shared" si="11"/>
        <v>3</v>
      </c>
      <c r="D41" s="18" t="s">
        <v>28</v>
      </c>
      <c r="E41" s="18">
        <f t="shared" si="12"/>
        <v>0</v>
      </c>
      <c r="F41" s="17"/>
      <c r="G41" s="17"/>
      <c r="H41" s="17"/>
      <c r="I41" s="17"/>
      <c r="J41" s="17">
        <f t="shared" si="13"/>
        <v>3</v>
      </c>
    </row>
    <row r="42" ht="15.75" customHeight="1" spans="1:10">
      <c r="A42" s="17">
        <v>6</v>
      </c>
      <c r="B42" s="18" t="s">
        <v>15</v>
      </c>
      <c r="C42" s="18">
        <f t="shared" si="11"/>
        <v>0</v>
      </c>
      <c r="D42" s="18"/>
      <c r="E42" s="18">
        <f t="shared" si="12"/>
        <v>16</v>
      </c>
      <c r="F42" s="17" t="s">
        <v>37</v>
      </c>
      <c r="G42" s="17" t="s">
        <v>38</v>
      </c>
      <c r="H42" s="17" t="s">
        <v>39</v>
      </c>
      <c r="I42" s="17" t="s">
        <v>40</v>
      </c>
      <c r="J42" s="17">
        <f t="shared" si="13"/>
        <v>16</v>
      </c>
    </row>
    <row r="43" ht="15.75" customHeight="1" spans="1:10">
      <c r="A43" s="17">
        <v>7</v>
      </c>
      <c r="B43" s="18" t="s">
        <v>16</v>
      </c>
      <c r="C43" s="18">
        <f t="shared" si="11"/>
        <v>1</v>
      </c>
      <c r="D43" s="18" t="s">
        <v>37</v>
      </c>
      <c r="E43" s="18">
        <f t="shared" si="12"/>
        <v>0</v>
      </c>
      <c r="F43" s="17"/>
      <c r="G43" s="17"/>
      <c r="H43" s="17"/>
      <c r="I43" s="17"/>
      <c r="J43" s="17">
        <f t="shared" si="13"/>
        <v>1</v>
      </c>
    </row>
    <row r="44" ht="15.75" customHeight="1" spans="1:10">
      <c r="A44" s="21" t="s">
        <v>17</v>
      </c>
      <c r="B44" s="8"/>
      <c r="C44" s="8"/>
      <c r="D44" s="8"/>
      <c r="E44" s="8"/>
      <c r="F44" s="8"/>
      <c r="G44" s="8"/>
      <c r="H44" s="8"/>
      <c r="I44" s="6"/>
      <c r="J44" s="27">
        <f>SUM(J37:J43)</f>
        <v>60</v>
      </c>
    </row>
    <row r="45" ht="15.75" customHeight="1"/>
    <row r="46" ht="15.75" customHeight="1"/>
    <row r="47" ht="15.75" customHeight="1"/>
    <row r="48" ht="15.75" customHeight="1" spans="1:10">
      <c r="A48" s="13" t="s">
        <v>2</v>
      </c>
      <c r="B48" s="14" t="s">
        <v>3</v>
      </c>
      <c r="C48" s="7" t="s">
        <v>41</v>
      </c>
      <c r="D48" s="8"/>
      <c r="E48" s="8"/>
      <c r="F48" s="8"/>
      <c r="G48" s="8"/>
      <c r="H48" s="8"/>
      <c r="I48" s="8"/>
      <c r="J48" s="6"/>
    </row>
    <row r="49" ht="15.75" customHeight="1" spans="1:10">
      <c r="A49" s="29"/>
      <c r="B49" s="29"/>
      <c r="C49" s="11" t="s">
        <v>6</v>
      </c>
      <c r="D49" s="11"/>
      <c r="E49" s="11" t="s">
        <v>9</v>
      </c>
      <c r="F49" s="12" t="s">
        <v>42</v>
      </c>
      <c r="G49" s="12" t="s">
        <v>43</v>
      </c>
      <c r="H49" s="12" t="s">
        <v>44</v>
      </c>
      <c r="I49" s="12" t="s">
        <v>45</v>
      </c>
      <c r="J49" s="12" t="s">
        <v>8</v>
      </c>
    </row>
    <row r="50" ht="15.75" customHeight="1" spans="1:10">
      <c r="A50" s="15">
        <v>1</v>
      </c>
      <c r="B50" s="16" t="s">
        <v>10</v>
      </c>
      <c r="C50" s="16">
        <f t="shared" ref="C50:C56" si="14">C37</f>
        <v>3</v>
      </c>
      <c r="D50" s="16"/>
      <c r="E50" s="18">
        <f t="shared" ref="E50:E56" si="15">E37</f>
        <v>4</v>
      </c>
      <c r="F50" s="15"/>
      <c r="G50" s="15"/>
      <c r="H50" s="15"/>
      <c r="I50" s="15"/>
      <c r="J50" s="15">
        <f t="shared" ref="J50:J56" si="16">C50+E50</f>
        <v>7</v>
      </c>
    </row>
    <row r="51" ht="15.75" customHeight="1" spans="1:10">
      <c r="A51" s="17">
        <v>2</v>
      </c>
      <c r="B51" s="18" t="s">
        <v>11</v>
      </c>
      <c r="C51" s="18">
        <f t="shared" si="14"/>
        <v>3</v>
      </c>
      <c r="D51" s="18" t="s">
        <v>46</v>
      </c>
      <c r="E51" s="18">
        <f t="shared" si="15"/>
        <v>16</v>
      </c>
      <c r="F51" s="17" t="s">
        <v>46</v>
      </c>
      <c r="G51" s="17" t="s">
        <v>46</v>
      </c>
      <c r="H51" s="17" t="s">
        <v>46</v>
      </c>
      <c r="I51" s="17" t="s">
        <v>25</v>
      </c>
      <c r="J51" s="17">
        <f t="shared" si="16"/>
        <v>19</v>
      </c>
    </row>
    <row r="52" ht="15.75" customHeight="1" spans="1:10">
      <c r="A52" s="17">
        <v>3</v>
      </c>
      <c r="B52" s="18" t="s">
        <v>12</v>
      </c>
      <c r="C52" s="18">
        <f t="shared" si="14"/>
        <v>3</v>
      </c>
      <c r="D52" s="18" t="s">
        <v>47</v>
      </c>
      <c r="E52" s="18">
        <f t="shared" si="15"/>
        <v>0</v>
      </c>
      <c r="F52" s="17"/>
      <c r="G52" s="17"/>
      <c r="H52" s="17"/>
      <c r="I52" s="17"/>
      <c r="J52" s="17">
        <f t="shared" si="16"/>
        <v>3</v>
      </c>
    </row>
    <row r="53" ht="15.75" customHeight="1" spans="1:10">
      <c r="A53" s="17">
        <v>4</v>
      </c>
      <c r="B53" s="18" t="s">
        <v>13</v>
      </c>
      <c r="C53" s="18">
        <f t="shared" si="14"/>
        <v>3</v>
      </c>
      <c r="D53" s="18" t="s">
        <v>48</v>
      </c>
      <c r="E53" s="18">
        <f t="shared" si="15"/>
        <v>8</v>
      </c>
      <c r="F53" s="17" t="s">
        <v>48</v>
      </c>
      <c r="G53" s="17" t="s">
        <v>48</v>
      </c>
      <c r="H53" s="17" t="s">
        <v>48</v>
      </c>
      <c r="I53" s="17" t="s">
        <v>48</v>
      </c>
      <c r="J53" s="17">
        <f t="shared" si="16"/>
        <v>11</v>
      </c>
    </row>
    <row r="54" ht="15.75" customHeight="1" spans="1:10">
      <c r="A54" s="17">
        <v>5</v>
      </c>
      <c r="B54" s="18" t="s">
        <v>14</v>
      </c>
      <c r="C54" s="18">
        <f t="shared" si="14"/>
        <v>3</v>
      </c>
      <c r="D54" s="18" t="s">
        <v>39</v>
      </c>
      <c r="E54" s="18">
        <f t="shared" si="15"/>
        <v>0</v>
      </c>
      <c r="F54" s="17"/>
      <c r="G54" s="17"/>
      <c r="H54" s="17"/>
      <c r="I54" s="17"/>
      <c r="J54" s="17">
        <f t="shared" si="16"/>
        <v>3</v>
      </c>
    </row>
    <row r="55" ht="15.75" customHeight="1" spans="1:10">
      <c r="A55" s="17">
        <v>6</v>
      </c>
      <c r="B55" s="18" t="s">
        <v>15</v>
      </c>
      <c r="C55" s="18">
        <f t="shared" si="14"/>
        <v>0</v>
      </c>
      <c r="D55" s="18"/>
      <c r="E55" s="18">
        <f t="shared" si="15"/>
        <v>16</v>
      </c>
      <c r="F55" s="17" t="s">
        <v>39</v>
      </c>
      <c r="G55" s="17" t="s">
        <v>47</v>
      </c>
      <c r="H55" s="17" t="s">
        <v>49</v>
      </c>
      <c r="I55" s="17" t="s">
        <v>50</v>
      </c>
      <c r="J55" s="17">
        <f t="shared" si="16"/>
        <v>16</v>
      </c>
    </row>
    <row r="56" ht="15.75" customHeight="1" spans="1:10">
      <c r="A56" s="17">
        <v>7</v>
      </c>
      <c r="B56" s="18" t="s">
        <v>16</v>
      </c>
      <c r="C56" s="18">
        <f t="shared" si="14"/>
        <v>1</v>
      </c>
      <c r="D56" s="18" t="s">
        <v>46</v>
      </c>
      <c r="E56" s="18">
        <f t="shared" si="15"/>
        <v>0</v>
      </c>
      <c r="F56" s="17"/>
      <c r="G56" s="17"/>
      <c r="H56" s="17"/>
      <c r="I56" s="17"/>
      <c r="J56" s="17">
        <f t="shared" si="16"/>
        <v>1</v>
      </c>
    </row>
    <row r="57" ht="15.75" customHeight="1" spans="1:10">
      <c r="A57" s="21" t="s">
        <v>17</v>
      </c>
      <c r="B57" s="8"/>
      <c r="C57" s="8"/>
      <c r="D57" s="8"/>
      <c r="E57" s="8"/>
      <c r="F57" s="8"/>
      <c r="G57" s="8"/>
      <c r="H57" s="8"/>
      <c r="I57" s="6"/>
      <c r="J57" s="27">
        <f>SUM(J50:J56)</f>
        <v>60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6:E6"/>
    <mergeCell ref="I6:K6"/>
    <mergeCell ref="A15:D15"/>
    <mergeCell ref="G15:J15"/>
    <mergeCell ref="C22:J22"/>
    <mergeCell ref="A31:I31"/>
    <mergeCell ref="C35:J35"/>
    <mergeCell ref="A44:I44"/>
    <mergeCell ref="C48:J48"/>
    <mergeCell ref="A57:I57"/>
    <mergeCell ref="A6:A7"/>
    <mergeCell ref="A22:A23"/>
    <mergeCell ref="A35:A36"/>
    <mergeCell ref="A48:A49"/>
    <mergeCell ref="B6:B7"/>
    <mergeCell ref="B22:B23"/>
    <mergeCell ref="B35:B36"/>
    <mergeCell ref="B48:B49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Z996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11.1388888888889" customWidth="1"/>
    <col min="3" max="3" width="8.71296296296296" customWidth="1"/>
    <col min="4" max="4" width="9.13888888888889" customWidth="1"/>
    <col min="5" max="7" width="8.71296296296296" customWidth="1"/>
    <col min="8" max="8" width="9.85185185185185" customWidth="1"/>
    <col min="9" max="23" width="8.71296296296296" customWidth="1"/>
  </cols>
  <sheetData>
    <row r="4" customHeight="1" spans="2:9">
      <c r="B4" s="24" t="s">
        <v>51</v>
      </c>
      <c r="H4" s="24" t="s">
        <v>1</v>
      </c>
      <c r="I4" s="4">
        <v>2</v>
      </c>
    </row>
    <row r="6" ht="15.6" spans="1:11">
      <c r="A6" s="13" t="s">
        <v>2</v>
      </c>
      <c r="B6" s="14" t="s">
        <v>3</v>
      </c>
      <c r="C6" s="7" t="s">
        <v>4</v>
      </c>
      <c r="D6" s="8"/>
      <c r="E6" s="6"/>
      <c r="G6" s="13" t="s">
        <v>2</v>
      </c>
      <c r="H6" s="14" t="s">
        <v>3</v>
      </c>
      <c r="I6" s="7" t="s">
        <v>52</v>
      </c>
      <c r="J6" s="8"/>
      <c r="K6" s="6"/>
    </row>
    <row r="7" ht="36" customHeight="1" spans="1:11">
      <c r="A7" s="29"/>
      <c r="B7" s="29"/>
      <c r="C7" s="11" t="s">
        <v>6</v>
      </c>
      <c r="D7" s="12" t="s">
        <v>7</v>
      </c>
      <c r="E7" s="12" t="s">
        <v>8</v>
      </c>
      <c r="G7" s="29"/>
      <c r="H7" s="29"/>
      <c r="I7" s="11" t="s">
        <v>6</v>
      </c>
      <c r="J7" s="11" t="s">
        <v>9</v>
      </c>
      <c r="K7" s="12" t="s">
        <v>8</v>
      </c>
    </row>
    <row r="8" ht="14.4" spans="1:11">
      <c r="A8" s="17">
        <v>1</v>
      </c>
      <c r="B8" s="18" t="s">
        <v>53</v>
      </c>
      <c r="C8" s="18">
        <v>4</v>
      </c>
      <c r="D8" s="18">
        <v>16</v>
      </c>
      <c r="E8" s="17">
        <f t="shared" ref="E8:E13" si="0">C8+D8</f>
        <v>20</v>
      </c>
      <c r="G8" s="17">
        <v>1</v>
      </c>
      <c r="H8" s="18" t="s">
        <v>53</v>
      </c>
      <c r="I8" s="18">
        <f t="shared" ref="I8:J8" si="1">C8*2</f>
        <v>8</v>
      </c>
      <c r="J8" s="18">
        <f t="shared" si="1"/>
        <v>32</v>
      </c>
      <c r="K8" s="17">
        <f t="shared" ref="K8:K13" si="2">I8+J8</f>
        <v>40</v>
      </c>
    </row>
    <row r="9" ht="14.4" spans="1:11">
      <c r="A9" s="17">
        <v>2</v>
      </c>
      <c r="B9" s="18" t="s">
        <v>54</v>
      </c>
      <c r="C9" s="18">
        <v>4</v>
      </c>
      <c r="D9" s="18">
        <v>8</v>
      </c>
      <c r="E9" s="17">
        <f t="shared" si="0"/>
        <v>12</v>
      </c>
      <c r="G9" s="17">
        <v>2</v>
      </c>
      <c r="H9" s="18" t="s">
        <v>54</v>
      </c>
      <c r="I9" s="18">
        <f t="shared" ref="I9:J9" si="3">C9*2</f>
        <v>8</v>
      </c>
      <c r="J9" s="18">
        <f t="shared" si="3"/>
        <v>16</v>
      </c>
      <c r="K9" s="17">
        <f t="shared" si="2"/>
        <v>24</v>
      </c>
    </row>
    <row r="10" ht="14.4" spans="1:11">
      <c r="A10" s="17">
        <v>3</v>
      </c>
      <c r="B10" s="18" t="s">
        <v>55</v>
      </c>
      <c r="C10" s="18">
        <v>4</v>
      </c>
      <c r="D10" s="18"/>
      <c r="E10" s="17">
        <f t="shared" si="0"/>
        <v>4</v>
      </c>
      <c r="G10" s="17">
        <v>3</v>
      </c>
      <c r="H10" s="18" t="s">
        <v>55</v>
      </c>
      <c r="I10" s="18">
        <f t="shared" ref="I10:J10" si="4">C10*2</f>
        <v>8</v>
      </c>
      <c r="J10" s="18">
        <f t="shared" si="4"/>
        <v>0</v>
      </c>
      <c r="K10" s="17">
        <f t="shared" si="2"/>
        <v>8</v>
      </c>
    </row>
    <row r="11" ht="14.4" spans="1:11">
      <c r="A11" s="17">
        <v>4</v>
      </c>
      <c r="B11" s="18" t="s">
        <v>56</v>
      </c>
      <c r="C11" s="18">
        <v>4</v>
      </c>
      <c r="D11" s="18"/>
      <c r="E11" s="17">
        <f t="shared" si="0"/>
        <v>4</v>
      </c>
      <c r="G11" s="17">
        <v>4</v>
      </c>
      <c r="H11" s="18" t="s">
        <v>56</v>
      </c>
      <c r="I11" s="18">
        <f t="shared" ref="I11:J11" si="5">C11*2</f>
        <v>8</v>
      </c>
      <c r="J11" s="18">
        <f t="shared" si="5"/>
        <v>0</v>
      </c>
      <c r="K11" s="17">
        <f t="shared" si="2"/>
        <v>8</v>
      </c>
    </row>
    <row r="12" ht="14.4" spans="1:26">
      <c r="A12" s="17">
        <v>5</v>
      </c>
      <c r="B12" s="18" t="s">
        <v>57</v>
      </c>
      <c r="C12" s="18"/>
      <c r="D12" s="18">
        <v>16</v>
      </c>
      <c r="E12" s="17">
        <f t="shared" si="0"/>
        <v>16</v>
      </c>
      <c r="F12" s="4"/>
      <c r="G12" s="17">
        <v>5</v>
      </c>
      <c r="H12" s="18" t="s">
        <v>57</v>
      </c>
      <c r="I12" s="18">
        <f t="shared" ref="I12:J12" si="6">C12*2</f>
        <v>0</v>
      </c>
      <c r="J12" s="18">
        <f t="shared" si="6"/>
        <v>32</v>
      </c>
      <c r="K12" s="17">
        <f t="shared" si="2"/>
        <v>32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4" spans="1:11">
      <c r="A13" s="17">
        <v>6</v>
      </c>
      <c r="B13" s="18" t="s">
        <v>58</v>
      </c>
      <c r="C13" s="18"/>
      <c r="D13" s="18"/>
      <c r="E13" s="17">
        <f t="shared" si="0"/>
        <v>0</v>
      </c>
      <c r="G13" s="17">
        <v>6</v>
      </c>
      <c r="H13" s="18" t="s">
        <v>58</v>
      </c>
      <c r="I13" s="18">
        <f t="shared" ref="I13:J13" si="7">C13*2</f>
        <v>0</v>
      </c>
      <c r="J13" s="18">
        <f t="shared" si="7"/>
        <v>0</v>
      </c>
      <c r="K13" s="17">
        <f t="shared" si="2"/>
        <v>0</v>
      </c>
    </row>
    <row r="14" ht="14.4" spans="1:11">
      <c r="A14" s="21" t="s">
        <v>17</v>
      </c>
      <c r="B14" s="8"/>
      <c r="C14" s="8"/>
      <c r="D14" s="6"/>
      <c r="E14" s="22">
        <f>SUM(E8:E13)</f>
        <v>56</v>
      </c>
      <c r="G14" s="23" t="s">
        <v>59</v>
      </c>
      <c r="H14" s="8"/>
      <c r="I14" s="8"/>
      <c r="J14" s="6"/>
      <c r="K14" s="22">
        <f>SUM(K8:K13)</f>
        <v>112</v>
      </c>
    </row>
    <row r="21" ht="15.75" customHeight="1" spans="1:10">
      <c r="A21" s="13" t="s">
        <v>2</v>
      </c>
      <c r="B21" s="14" t="s">
        <v>3</v>
      </c>
      <c r="C21" s="7" t="s">
        <v>60</v>
      </c>
      <c r="D21" s="8"/>
      <c r="E21" s="8"/>
      <c r="F21" s="8"/>
      <c r="G21" s="8"/>
      <c r="H21" s="8"/>
      <c r="I21" s="8"/>
      <c r="J21" s="6"/>
    </row>
    <row r="22" ht="15.75" customHeight="1" spans="1:10">
      <c r="A22" s="29"/>
      <c r="B22" s="29"/>
      <c r="C22" s="11" t="s">
        <v>6</v>
      </c>
      <c r="D22" s="11"/>
      <c r="E22" s="11" t="s">
        <v>9</v>
      </c>
      <c r="F22" s="12" t="s">
        <v>61</v>
      </c>
      <c r="G22" s="12" t="s">
        <v>62</v>
      </c>
      <c r="H22" s="12" t="s">
        <v>63</v>
      </c>
      <c r="I22" s="12" t="s">
        <v>64</v>
      </c>
      <c r="J22" s="12" t="s">
        <v>8</v>
      </c>
    </row>
    <row r="23" ht="15.75" customHeight="1" spans="1:10">
      <c r="A23" s="17">
        <v>1</v>
      </c>
      <c r="B23" s="18" t="s">
        <v>53</v>
      </c>
      <c r="C23" s="18">
        <f t="shared" ref="C23:C27" si="8">C8</f>
        <v>4</v>
      </c>
      <c r="D23" s="18" t="s">
        <v>50</v>
      </c>
      <c r="E23" s="18">
        <f t="shared" ref="E23:E27" si="9">D8</f>
        <v>16</v>
      </c>
      <c r="F23" s="17" t="s">
        <v>50</v>
      </c>
      <c r="G23" s="17" t="s">
        <v>50</v>
      </c>
      <c r="H23" s="17" t="s">
        <v>36</v>
      </c>
      <c r="I23" s="17" t="s">
        <v>36</v>
      </c>
      <c r="J23" s="17">
        <f t="shared" ref="J23:J27" si="10">C23+E23</f>
        <v>20</v>
      </c>
    </row>
    <row r="24" ht="15.75" customHeight="1" spans="1:10">
      <c r="A24" s="17">
        <v>2</v>
      </c>
      <c r="B24" s="18" t="s">
        <v>54</v>
      </c>
      <c r="C24" s="18">
        <f t="shared" si="8"/>
        <v>4</v>
      </c>
      <c r="D24" s="18" t="s">
        <v>65</v>
      </c>
      <c r="E24" s="18">
        <f t="shared" si="9"/>
        <v>8</v>
      </c>
      <c r="F24" s="17" t="s">
        <v>65</v>
      </c>
      <c r="G24" s="17" t="s">
        <v>65</v>
      </c>
      <c r="H24" s="17" t="s">
        <v>65</v>
      </c>
      <c r="I24" s="17" t="s">
        <v>65</v>
      </c>
      <c r="J24" s="17">
        <f t="shared" si="10"/>
        <v>12</v>
      </c>
    </row>
    <row r="25" ht="15.75" customHeight="1" spans="1:10">
      <c r="A25" s="17">
        <v>3</v>
      </c>
      <c r="B25" s="18" t="s">
        <v>55</v>
      </c>
      <c r="C25" s="18">
        <f t="shared" si="8"/>
        <v>4</v>
      </c>
      <c r="D25" s="18" t="s">
        <v>66</v>
      </c>
      <c r="E25" s="18">
        <f t="shared" si="9"/>
        <v>0</v>
      </c>
      <c r="F25" s="17"/>
      <c r="G25" s="17"/>
      <c r="H25" s="17"/>
      <c r="I25" s="17"/>
      <c r="J25" s="17">
        <f t="shared" si="10"/>
        <v>4</v>
      </c>
    </row>
    <row r="26" ht="15.75" customHeight="1" spans="1:10">
      <c r="A26" s="17">
        <v>4</v>
      </c>
      <c r="B26" s="18" t="s">
        <v>67</v>
      </c>
      <c r="C26" s="18">
        <f t="shared" si="8"/>
        <v>4</v>
      </c>
      <c r="D26" s="18" t="s">
        <v>29</v>
      </c>
      <c r="E26" s="18">
        <f t="shared" si="9"/>
        <v>0</v>
      </c>
      <c r="F26" s="17"/>
      <c r="G26" s="17"/>
      <c r="H26" s="17"/>
      <c r="I26" s="17"/>
      <c r="J26" s="17">
        <f t="shared" si="10"/>
        <v>4</v>
      </c>
    </row>
    <row r="27" ht="15.75" customHeight="1" spans="1:10">
      <c r="A27" s="17">
        <v>5</v>
      </c>
      <c r="B27" s="18" t="s">
        <v>57</v>
      </c>
      <c r="C27" s="18">
        <f t="shared" si="8"/>
        <v>0</v>
      </c>
      <c r="D27" s="18"/>
      <c r="E27" s="18">
        <f t="shared" si="9"/>
        <v>16</v>
      </c>
      <c r="F27" s="17" t="s">
        <v>29</v>
      </c>
      <c r="G27" s="17" t="s">
        <v>29</v>
      </c>
      <c r="H27" s="17" t="s">
        <v>66</v>
      </c>
      <c r="I27" s="17" t="s">
        <v>66</v>
      </c>
      <c r="J27" s="17">
        <f t="shared" si="10"/>
        <v>16</v>
      </c>
    </row>
    <row r="28" ht="15.75" customHeight="1" spans="1:10">
      <c r="A28" s="21" t="s">
        <v>17</v>
      </c>
      <c r="B28" s="8"/>
      <c r="C28" s="8"/>
      <c r="D28" s="8"/>
      <c r="E28" s="8"/>
      <c r="F28" s="8"/>
      <c r="G28" s="8"/>
      <c r="H28" s="8"/>
      <c r="I28" s="6"/>
      <c r="J28" s="27">
        <f>SUM(J23:J27)</f>
        <v>56</v>
      </c>
    </row>
    <row r="29" ht="15.75" customHeight="1"/>
    <row r="30" ht="15.75" customHeight="1"/>
    <row r="31" ht="15.75" customHeight="1"/>
    <row r="32" ht="15.75" customHeight="1" spans="1:10">
      <c r="A32" s="13" t="s">
        <v>2</v>
      </c>
      <c r="B32" s="14" t="s">
        <v>3</v>
      </c>
      <c r="C32" s="7" t="s">
        <v>68</v>
      </c>
      <c r="D32" s="8"/>
      <c r="E32" s="8"/>
      <c r="F32" s="8"/>
      <c r="G32" s="8"/>
      <c r="H32" s="8"/>
      <c r="I32" s="8"/>
      <c r="J32" s="6"/>
    </row>
    <row r="33" ht="15.75" customHeight="1" spans="1:10">
      <c r="A33" s="29"/>
      <c r="B33" s="29"/>
      <c r="C33" s="11" t="s">
        <v>6</v>
      </c>
      <c r="D33" s="11"/>
      <c r="E33" s="11" t="s">
        <v>9</v>
      </c>
      <c r="F33" s="12" t="s">
        <v>69</v>
      </c>
      <c r="G33" s="12" t="s">
        <v>70</v>
      </c>
      <c r="H33" s="12" t="s">
        <v>71</v>
      </c>
      <c r="I33" s="12" t="s">
        <v>72</v>
      </c>
      <c r="J33" s="12" t="s">
        <v>8</v>
      </c>
    </row>
    <row r="34" ht="15.75" customHeight="1" spans="1:10">
      <c r="A34" s="17">
        <v>1</v>
      </c>
      <c r="B34" s="18" t="s">
        <v>53</v>
      </c>
      <c r="C34" s="18">
        <f t="shared" ref="C34:C38" si="11">C23</f>
        <v>4</v>
      </c>
      <c r="D34" s="18" t="s">
        <v>49</v>
      </c>
      <c r="E34" s="18">
        <f t="shared" ref="E34:E38" si="12">E23</f>
        <v>16</v>
      </c>
      <c r="F34" s="17" t="s">
        <v>49</v>
      </c>
      <c r="G34" s="17" t="s">
        <v>49</v>
      </c>
      <c r="H34" s="17" t="s">
        <v>39</v>
      </c>
      <c r="I34" s="17" t="s">
        <v>39</v>
      </c>
      <c r="J34" s="17">
        <f t="shared" ref="J34:J38" si="13">C34+E34</f>
        <v>20</v>
      </c>
    </row>
    <row r="35" ht="15.75" customHeight="1" spans="1:10">
      <c r="A35" s="17">
        <v>2</v>
      </c>
      <c r="B35" s="18" t="s">
        <v>54</v>
      </c>
      <c r="C35" s="18">
        <f t="shared" si="11"/>
        <v>4</v>
      </c>
      <c r="D35" s="18" t="s">
        <v>73</v>
      </c>
      <c r="E35" s="18">
        <f t="shared" si="12"/>
        <v>8</v>
      </c>
      <c r="F35" s="17" t="s">
        <v>73</v>
      </c>
      <c r="G35" s="17" t="s">
        <v>73</v>
      </c>
      <c r="H35" s="17" t="s">
        <v>73</v>
      </c>
      <c r="I35" s="17" t="s">
        <v>73</v>
      </c>
      <c r="J35" s="17">
        <f t="shared" si="13"/>
        <v>12</v>
      </c>
    </row>
    <row r="36" ht="15.75" customHeight="1" spans="1:10">
      <c r="A36" s="17">
        <v>3</v>
      </c>
      <c r="B36" s="18" t="s">
        <v>55</v>
      </c>
      <c r="C36" s="18">
        <f t="shared" si="11"/>
        <v>4</v>
      </c>
      <c r="D36" s="18" t="s">
        <v>40</v>
      </c>
      <c r="E36" s="18">
        <f t="shared" si="12"/>
        <v>0</v>
      </c>
      <c r="F36" s="17"/>
      <c r="G36" s="17"/>
      <c r="H36" s="17"/>
      <c r="I36" s="17"/>
      <c r="J36" s="17">
        <f t="shared" si="13"/>
        <v>4</v>
      </c>
    </row>
    <row r="37" ht="15.75" customHeight="1" spans="1:10">
      <c r="A37" s="17">
        <v>4</v>
      </c>
      <c r="B37" s="18" t="s">
        <v>74</v>
      </c>
      <c r="C37" s="18">
        <f t="shared" si="11"/>
        <v>4</v>
      </c>
      <c r="D37" s="18" t="s">
        <v>38</v>
      </c>
      <c r="E37" s="18">
        <f t="shared" si="12"/>
        <v>0</v>
      </c>
      <c r="F37" s="17"/>
      <c r="G37" s="17"/>
      <c r="H37" s="17"/>
      <c r="I37" s="17"/>
      <c r="J37" s="17">
        <f t="shared" si="13"/>
        <v>4</v>
      </c>
    </row>
    <row r="38" ht="15.75" customHeight="1" spans="1:10">
      <c r="A38" s="17">
        <v>5</v>
      </c>
      <c r="B38" s="18" t="s">
        <v>57</v>
      </c>
      <c r="C38" s="18">
        <f t="shared" si="11"/>
        <v>0</v>
      </c>
      <c r="D38" s="18"/>
      <c r="E38" s="18">
        <f t="shared" si="12"/>
        <v>16</v>
      </c>
      <c r="F38" s="17" t="s">
        <v>40</v>
      </c>
      <c r="G38" s="17" t="s">
        <v>40</v>
      </c>
      <c r="H38" s="17" t="s">
        <v>38</v>
      </c>
      <c r="I38" s="17" t="s">
        <v>38</v>
      </c>
      <c r="J38" s="17">
        <f t="shared" si="13"/>
        <v>16</v>
      </c>
    </row>
    <row r="39" ht="15.75" customHeight="1" spans="1:10">
      <c r="A39" s="21" t="s">
        <v>17</v>
      </c>
      <c r="B39" s="8"/>
      <c r="C39" s="8"/>
      <c r="D39" s="8"/>
      <c r="E39" s="8"/>
      <c r="F39" s="8"/>
      <c r="G39" s="8"/>
      <c r="H39" s="8"/>
      <c r="I39" s="6"/>
      <c r="J39" s="27">
        <f>SUM(J34:J38)</f>
        <v>56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6">
    <mergeCell ref="C6:E6"/>
    <mergeCell ref="I6:K6"/>
    <mergeCell ref="A14:D14"/>
    <mergeCell ref="G14:J14"/>
    <mergeCell ref="C21:J21"/>
    <mergeCell ref="A28:I28"/>
    <mergeCell ref="C32:J32"/>
    <mergeCell ref="A39:I39"/>
    <mergeCell ref="A6:A7"/>
    <mergeCell ref="A21:A22"/>
    <mergeCell ref="A32:A33"/>
    <mergeCell ref="B6:B7"/>
    <mergeCell ref="B21:B22"/>
    <mergeCell ref="B32:B33"/>
    <mergeCell ref="G6:G7"/>
    <mergeCell ref="H6:H7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4"/>
  <sheetViews>
    <sheetView workbookViewId="0">
      <selection activeCell="A1" sqref="A1"/>
    </sheetView>
  </sheetViews>
  <sheetFormatPr defaultColWidth="14.4259259259259" defaultRowHeight="15" customHeight="1"/>
  <cols>
    <col min="1" max="1" width="8.71296296296296" customWidth="1"/>
    <col min="2" max="2" width="14.1388888888889" customWidth="1"/>
    <col min="3" max="3" width="8.71296296296296" customWidth="1"/>
    <col min="4" max="4" width="9.42592592592593" customWidth="1"/>
    <col min="5" max="5" width="10.8518518518519" customWidth="1"/>
    <col min="6" max="7" width="8.71296296296296" customWidth="1"/>
    <col min="8" max="8" width="13.4259259259259" customWidth="1"/>
    <col min="9" max="10" width="8.71296296296296" customWidth="1"/>
    <col min="11" max="11" width="9.42592592592593" customWidth="1"/>
    <col min="12" max="22" width="8.71296296296296" customWidth="1"/>
  </cols>
  <sheetData>
    <row r="1" ht="14.4" spans="9:9">
      <c r="I1" s="4"/>
    </row>
    <row r="2" ht="14.4" spans="9:9">
      <c r="I2" s="4"/>
    </row>
    <row r="3" ht="14.4" spans="9:9">
      <c r="I3" s="4"/>
    </row>
    <row r="4" customHeight="1" spans="2:12">
      <c r="B4" s="24" t="s">
        <v>75</v>
      </c>
      <c r="G4" s="4"/>
      <c r="H4" s="24" t="s">
        <v>1</v>
      </c>
      <c r="I4" s="4">
        <v>2</v>
      </c>
      <c r="K4" s="4"/>
      <c r="L4" s="4"/>
    </row>
    <row r="5" customHeight="1" spans="7:12">
      <c r="G5" s="4"/>
      <c r="H5" s="4"/>
      <c r="I5" s="4"/>
      <c r="J5" s="4"/>
      <c r="K5" s="4"/>
      <c r="L5" s="4"/>
    </row>
    <row r="6" ht="15.6" spans="1:11">
      <c r="A6" s="13" t="s">
        <v>2</v>
      </c>
      <c r="B6" s="14" t="s">
        <v>3</v>
      </c>
      <c r="C6" s="7" t="s">
        <v>4</v>
      </c>
      <c r="D6" s="8"/>
      <c r="E6" s="6"/>
      <c r="G6" s="13" t="s">
        <v>2</v>
      </c>
      <c r="H6" s="14" t="s">
        <v>3</v>
      </c>
      <c r="I6" s="7" t="s">
        <v>76</v>
      </c>
      <c r="J6" s="8"/>
      <c r="K6" s="6"/>
    </row>
    <row r="7" ht="46.8" spans="1:11">
      <c r="A7" s="29"/>
      <c r="B7" s="29"/>
      <c r="C7" s="11" t="s">
        <v>6</v>
      </c>
      <c r="D7" s="12" t="s">
        <v>77</v>
      </c>
      <c r="E7" s="12" t="s">
        <v>8</v>
      </c>
      <c r="G7" s="48"/>
      <c r="H7" s="48"/>
      <c r="I7" s="11" t="s">
        <v>6</v>
      </c>
      <c r="J7" s="11" t="s">
        <v>9</v>
      </c>
      <c r="K7" s="12" t="s">
        <v>8</v>
      </c>
    </row>
    <row r="8" ht="14.4" spans="1:11">
      <c r="A8" s="17">
        <v>1</v>
      </c>
      <c r="B8" s="18" t="s">
        <v>78</v>
      </c>
      <c r="C8" s="18">
        <v>3</v>
      </c>
      <c r="D8" s="18"/>
      <c r="E8" s="17">
        <f t="shared" ref="E8:E14" si="0">C8+D8</f>
        <v>3</v>
      </c>
      <c r="G8" s="17">
        <v>1</v>
      </c>
      <c r="H8" s="18" t="s">
        <v>78</v>
      </c>
      <c r="I8" s="18">
        <f t="shared" ref="I8:J8" si="1">C8*2</f>
        <v>6</v>
      </c>
      <c r="J8" s="18">
        <f t="shared" si="1"/>
        <v>0</v>
      </c>
      <c r="K8" s="17">
        <f t="shared" ref="K8:K14" si="2">I8+J8</f>
        <v>6</v>
      </c>
    </row>
    <row r="9" ht="14.4" spans="1:11">
      <c r="A9" s="17">
        <v>2</v>
      </c>
      <c r="B9" s="18" t="s">
        <v>79</v>
      </c>
      <c r="C9" s="18">
        <v>3</v>
      </c>
      <c r="D9" s="18"/>
      <c r="E9" s="17">
        <f t="shared" si="0"/>
        <v>3</v>
      </c>
      <c r="G9" s="17">
        <v>2</v>
      </c>
      <c r="H9" s="18" t="s">
        <v>79</v>
      </c>
      <c r="I9" s="18">
        <f t="shared" ref="I9:J9" si="3">C9*2</f>
        <v>6</v>
      </c>
      <c r="J9" s="18">
        <f t="shared" si="3"/>
        <v>0</v>
      </c>
      <c r="K9" s="17">
        <f t="shared" si="2"/>
        <v>6</v>
      </c>
    </row>
    <row r="10" ht="14.4" spans="1:11">
      <c r="A10" s="17">
        <v>3</v>
      </c>
      <c r="B10" s="18" t="s">
        <v>80</v>
      </c>
      <c r="C10" s="18">
        <v>3</v>
      </c>
      <c r="D10" s="18"/>
      <c r="E10" s="17">
        <f t="shared" si="0"/>
        <v>3</v>
      </c>
      <c r="G10" s="17">
        <v>3</v>
      </c>
      <c r="H10" s="18" t="s">
        <v>80</v>
      </c>
      <c r="I10" s="18">
        <f t="shared" ref="I10:J10" si="4">C10*2</f>
        <v>6</v>
      </c>
      <c r="J10" s="18">
        <f t="shared" si="4"/>
        <v>0</v>
      </c>
      <c r="K10" s="17">
        <f t="shared" si="2"/>
        <v>6</v>
      </c>
    </row>
    <row r="11" ht="14.4" spans="1:11">
      <c r="A11" s="17">
        <v>4</v>
      </c>
      <c r="B11" s="18" t="s">
        <v>81</v>
      </c>
      <c r="C11" s="18">
        <v>3</v>
      </c>
      <c r="D11" s="18"/>
      <c r="E11" s="17">
        <f t="shared" si="0"/>
        <v>3</v>
      </c>
      <c r="G11" s="17">
        <v>4</v>
      </c>
      <c r="H11" s="18" t="s">
        <v>81</v>
      </c>
      <c r="I11" s="18">
        <f t="shared" ref="I11:J11" si="5">C11*2</f>
        <v>6</v>
      </c>
      <c r="J11" s="18">
        <f t="shared" si="5"/>
        <v>0</v>
      </c>
      <c r="K11" s="17">
        <f t="shared" si="2"/>
        <v>6</v>
      </c>
    </row>
    <row r="12" ht="14.4" spans="1:11">
      <c r="A12" s="17">
        <v>5</v>
      </c>
      <c r="B12" s="18" t="s">
        <v>82</v>
      </c>
      <c r="C12" s="18"/>
      <c r="D12" s="18">
        <v>8</v>
      </c>
      <c r="E12" s="17">
        <f t="shared" si="0"/>
        <v>8</v>
      </c>
      <c r="G12" s="17">
        <v>5</v>
      </c>
      <c r="H12" s="18" t="s">
        <v>82</v>
      </c>
      <c r="I12" s="18">
        <f t="shared" ref="I12:J12" si="6">C12*2</f>
        <v>0</v>
      </c>
      <c r="J12" s="18">
        <f t="shared" si="6"/>
        <v>16</v>
      </c>
      <c r="K12" s="17">
        <f t="shared" si="2"/>
        <v>16</v>
      </c>
    </row>
    <row r="13" ht="14.4" spans="1:11">
      <c r="A13" s="17">
        <v>6</v>
      </c>
      <c r="B13" s="18" t="s">
        <v>83</v>
      </c>
      <c r="C13" s="18"/>
      <c r="D13" s="18">
        <v>8</v>
      </c>
      <c r="E13" s="17">
        <f t="shared" si="0"/>
        <v>8</v>
      </c>
      <c r="G13" s="17">
        <v>6</v>
      </c>
      <c r="H13" s="18" t="s">
        <v>83</v>
      </c>
      <c r="I13" s="18">
        <f t="shared" ref="I13:J13" si="7">C13*2</f>
        <v>0</v>
      </c>
      <c r="J13" s="18">
        <f t="shared" si="7"/>
        <v>16</v>
      </c>
      <c r="K13" s="17">
        <f t="shared" si="2"/>
        <v>16</v>
      </c>
    </row>
    <row r="14" ht="14.4" spans="1:11">
      <c r="A14" s="17">
        <v>7</v>
      </c>
      <c r="B14" s="18" t="s">
        <v>84</v>
      </c>
      <c r="C14" s="18"/>
      <c r="D14" s="18">
        <v>24</v>
      </c>
      <c r="E14" s="17">
        <f t="shared" si="0"/>
        <v>24</v>
      </c>
      <c r="G14" s="17">
        <v>7</v>
      </c>
      <c r="H14" s="18" t="s">
        <v>84</v>
      </c>
      <c r="I14" s="18">
        <f t="shared" ref="I14:J14" si="8">C14*2</f>
        <v>0</v>
      </c>
      <c r="J14" s="18">
        <f t="shared" si="8"/>
        <v>48</v>
      </c>
      <c r="K14" s="17">
        <f t="shared" si="2"/>
        <v>48</v>
      </c>
    </row>
    <row r="15" ht="14.4" spans="1:11">
      <c r="A15" s="21" t="s">
        <v>17</v>
      </c>
      <c r="B15" s="8"/>
      <c r="C15" s="8"/>
      <c r="D15" s="6"/>
      <c r="E15" s="22">
        <f>SUM(E8:E14)</f>
        <v>52</v>
      </c>
      <c r="G15" s="21" t="s">
        <v>85</v>
      </c>
      <c r="H15" s="8"/>
      <c r="I15" s="8"/>
      <c r="J15" s="6"/>
      <c r="K15" s="22">
        <f>SUM(K8:K14)</f>
        <v>104</v>
      </c>
    </row>
    <row r="16" ht="14.4" spans="9:9">
      <c r="I16" s="4"/>
    </row>
    <row r="17" ht="14.4" spans="9:9">
      <c r="I17" s="4"/>
    </row>
    <row r="18" ht="14.4" spans="9:9">
      <c r="I18" s="4"/>
    </row>
    <row r="19" ht="14.4" spans="9:9">
      <c r="I19" s="4"/>
    </row>
    <row r="20" ht="15.75" customHeight="1" spans="1:10">
      <c r="A20" s="13" t="s">
        <v>2</v>
      </c>
      <c r="B20" s="14" t="s">
        <v>3</v>
      </c>
      <c r="C20" s="7" t="s">
        <v>86</v>
      </c>
      <c r="D20" s="8"/>
      <c r="E20" s="8"/>
      <c r="F20" s="8"/>
      <c r="G20" s="8"/>
      <c r="H20" s="8"/>
      <c r="I20" s="8"/>
      <c r="J20" s="6"/>
    </row>
    <row r="21" ht="15.75" customHeight="1" spans="1:10">
      <c r="A21" s="29"/>
      <c r="B21" s="29"/>
      <c r="C21" s="11" t="s">
        <v>6</v>
      </c>
      <c r="D21" s="11"/>
      <c r="E21" s="11" t="s">
        <v>9</v>
      </c>
      <c r="F21" s="12" t="s">
        <v>87</v>
      </c>
      <c r="G21" s="12" t="s">
        <v>88</v>
      </c>
      <c r="H21" s="12" t="s">
        <v>89</v>
      </c>
      <c r="I21" s="12" t="s">
        <v>90</v>
      </c>
      <c r="J21" s="12" t="s">
        <v>8</v>
      </c>
    </row>
    <row r="22" ht="15.75" customHeight="1" spans="1:15">
      <c r="A22" s="17">
        <v>1</v>
      </c>
      <c r="B22" s="18" t="s">
        <v>78</v>
      </c>
      <c r="C22" s="18">
        <f t="shared" ref="C22:C27" si="9">C8</f>
        <v>3</v>
      </c>
      <c r="D22" s="18" t="s">
        <v>28</v>
      </c>
      <c r="E22" s="18">
        <f t="shared" ref="E22:E27" si="10">D8</f>
        <v>0</v>
      </c>
      <c r="F22" s="15"/>
      <c r="G22" s="15"/>
      <c r="H22" s="15"/>
      <c r="I22" s="15"/>
      <c r="J22" s="17">
        <f t="shared" ref="J22:J27" si="11">C22+E22</f>
        <v>3</v>
      </c>
      <c r="O22" s="4"/>
    </row>
    <row r="23" ht="15.75" customHeight="1" spans="1:10">
      <c r="A23" s="17">
        <v>2</v>
      </c>
      <c r="B23" s="18" t="s">
        <v>79</v>
      </c>
      <c r="C23" s="18">
        <f t="shared" si="9"/>
        <v>3</v>
      </c>
      <c r="D23" s="18" t="s">
        <v>48</v>
      </c>
      <c r="E23" s="18">
        <f t="shared" si="10"/>
        <v>0</v>
      </c>
      <c r="F23" s="17"/>
      <c r="G23" s="17"/>
      <c r="H23" s="17"/>
      <c r="I23" s="17"/>
      <c r="J23" s="17">
        <f t="shared" si="11"/>
        <v>3</v>
      </c>
    </row>
    <row r="24" ht="15.75" customHeight="1" spans="1:10">
      <c r="A24" s="17">
        <v>3</v>
      </c>
      <c r="B24" s="18" t="s">
        <v>80</v>
      </c>
      <c r="C24" s="18">
        <f t="shared" si="9"/>
        <v>3</v>
      </c>
      <c r="D24" s="18" t="s">
        <v>24</v>
      </c>
      <c r="E24" s="18">
        <f t="shared" si="10"/>
        <v>0</v>
      </c>
      <c r="F24" s="17"/>
      <c r="G24" s="17"/>
      <c r="H24" s="17"/>
      <c r="I24" s="17"/>
      <c r="J24" s="17">
        <f t="shared" si="11"/>
        <v>3</v>
      </c>
    </row>
    <row r="25" ht="15.75" customHeight="1" spans="1:10">
      <c r="A25" s="17">
        <v>4</v>
      </c>
      <c r="B25" s="18" t="s">
        <v>81</v>
      </c>
      <c r="C25" s="18">
        <f t="shared" si="9"/>
        <v>3</v>
      </c>
      <c r="D25" s="18" t="s">
        <v>47</v>
      </c>
      <c r="E25" s="18">
        <f t="shared" si="10"/>
        <v>0</v>
      </c>
      <c r="F25" s="17"/>
      <c r="G25" s="17"/>
      <c r="H25" s="17"/>
      <c r="I25" s="17"/>
      <c r="J25" s="17">
        <f t="shared" si="11"/>
        <v>3</v>
      </c>
    </row>
    <row r="26" ht="15.75" customHeight="1" spans="1:10">
      <c r="A26" s="17">
        <v>5</v>
      </c>
      <c r="B26" s="18" t="s">
        <v>82</v>
      </c>
      <c r="C26" s="18">
        <f t="shared" si="9"/>
        <v>0</v>
      </c>
      <c r="D26" s="18"/>
      <c r="E26" s="18">
        <f t="shared" si="10"/>
        <v>8</v>
      </c>
      <c r="F26" s="17" t="s">
        <v>48</v>
      </c>
      <c r="G26" s="17" t="s">
        <v>28</v>
      </c>
      <c r="H26" s="17" t="s">
        <v>28</v>
      </c>
      <c r="I26" s="17" t="s">
        <v>28</v>
      </c>
      <c r="J26" s="17">
        <f t="shared" si="11"/>
        <v>8</v>
      </c>
    </row>
    <row r="27" ht="15.75" customHeight="1" spans="1:10">
      <c r="A27" s="17">
        <v>6</v>
      </c>
      <c r="B27" s="18" t="s">
        <v>83</v>
      </c>
      <c r="C27" s="18">
        <f t="shared" si="9"/>
        <v>0</v>
      </c>
      <c r="D27" s="18"/>
      <c r="E27" s="18">
        <f t="shared" si="10"/>
        <v>8</v>
      </c>
      <c r="F27" s="17" t="s">
        <v>47</v>
      </c>
      <c r="G27" s="17" t="s">
        <v>47</v>
      </c>
      <c r="H27" s="17" t="s">
        <v>47</v>
      </c>
      <c r="I27" s="17" t="s">
        <v>91</v>
      </c>
      <c r="J27" s="17">
        <f t="shared" si="11"/>
        <v>8</v>
      </c>
    </row>
    <row r="28" ht="15.75" customHeight="1" spans="1:10">
      <c r="A28" s="21" t="s">
        <v>17</v>
      </c>
      <c r="B28" s="8"/>
      <c r="C28" s="8"/>
      <c r="D28" s="8"/>
      <c r="E28" s="8"/>
      <c r="F28" s="8"/>
      <c r="G28" s="8"/>
      <c r="H28" s="6"/>
      <c r="I28" s="49"/>
      <c r="J28" s="27">
        <f>SUM(J22:J27)</f>
        <v>28</v>
      </c>
    </row>
    <row r="29" ht="15.75" customHeight="1" spans="9:9">
      <c r="I29" s="4"/>
    </row>
    <row r="30" ht="15.75" customHeight="1" spans="9:9">
      <c r="I30" s="4"/>
    </row>
    <row r="31" ht="15.75" customHeight="1" spans="9:9">
      <c r="I31" s="4"/>
    </row>
    <row r="32" ht="15.75" customHeight="1" spans="1:10">
      <c r="A32" s="13" t="s">
        <v>2</v>
      </c>
      <c r="B32" s="14" t="s">
        <v>3</v>
      </c>
      <c r="C32" s="7" t="s">
        <v>92</v>
      </c>
      <c r="D32" s="8"/>
      <c r="E32" s="8"/>
      <c r="F32" s="8"/>
      <c r="G32" s="8"/>
      <c r="H32" s="8"/>
      <c r="I32" s="8"/>
      <c r="J32" s="6"/>
    </row>
    <row r="33" ht="15.75" customHeight="1" spans="1:10">
      <c r="A33" s="29"/>
      <c r="B33" s="29"/>
      <c r="C33" s="11" t="s">
        <v>6</v>
      </c>
      <c r="D33" s="11"/>
      <c r="E33" s="11" t="s">
        <v>9</v>
      </c>
      <c r="F33" s="12" t="s">
        <v>93</v>
      </c>
      <c r="G33" s="12" t="s">
        <v>94</v>
      </c>
      <c r="H33" s="12" t="s">
        <v>95</v>
      </c>
      <c r="I33" s="12" t="s">
        <v>96</v>
      </c>
      <c r="J33" s="12" t="s">
        <v>8</v>
      </c>
    </row>
    <row r="34" ht="15.75" customHeight="1" spans="1:10">
      <c r="A34" s="17">
        <v>1</v>
      </c>
      <c r="B34" s="18" t="s">
        <v>78</v>
      </c>
      <c r="C34" s="18">
        <f t="shared" ref="C34:C39" si="12">C22</f>
        <v>3</v>
      </c>
      <c r="D34" s="18" t="s">
        <v>27</v>
      </c>
      <c r="E34" s="18">
        <f t="shared" ref="E34:E39" si="13">E22</f>
        <v>0</v>
      </c>
      <c r="F34" s="15"/>
      <c r="G34" s="15"/>
      <c r="H34" s="15"/>
      <c r="I34" s="15"/>
      <c r="J34" s="17">
        <f t="shared" ref="J34:J39" si="14">C34+E34</f>
        <v>3</v>
      </c>
    </row>
    <row r="35" ht="15.75" customHeight="1" spans="1:10">
      <c r="A35" s="17">
        <v>2</v>
      </c>
      <c r="B35" s="18" t="s">
        <v>79</v>
      </c>
      <c r="C35" s="18">
        <f t="shared" si="12"/>
        <v>3</v>
      </c>
      <c r="D35" s="18" t="s">
        <v>65</v>
      </c>
      <c r="E35" s="18">
        <f t="shared" si="13"/>
        <v>0</v>
      </c>
      <c r="F35" s="17"/>
      <c r="G35" s="17"/>
      <c r="H35" s="17"/>
      <c r="I35" s="17"/>
      <c r="J35" s="17">
        <f t="shared" si="14"/>
        <v>3</v>
      </c>
    </row>
    <row r="36" ht="15.75" customHeight="1" spans="1:10">
      <c r="A36" s="17">
        <v>3</v>
      </c>
      <c r="B36" s="18" t="s">
        <v>80</v>
      </c>
      <c r="C36" s="18">
        <f t="shared" si="12"/>
        <v>3</v>
      </c>
      <c r="D36" s="18" t="s">
        <v>35</v>
      </c>
      <c r="E36" s="18">
        <f t="shared" si="13"/>
        <v>0</v>
      </c>
      <c r="F36" s="17"/>
      <c r="G36" s="17"/>
      <c r="H36" s="17"/>
      <c r="I36" s="17"/>
      <c r="J36" s="17">
        <f t="shared" si="14"/>
        <v>3</v>
      </c>
    </row>
    <row r="37" ht="15.75" customHeight="1" spans="1:10">
      <c r="A37" s="17">
        <v>4</v>
      </c>
      <c r="B37" s="18" t="s">
        <v>81</v>
      </c>
      <c r="C37" s="18">
        <f t="shared" si="12"/>
        <v>3</v>
      </c>
      <c r="D37" s="18" t="s">
        <v>66</v>
      </c>
      <c r="E37" s="18">
        <f t="shared" si="13"/>
        <v>0</v>
      </c>
      <c r="F37" s="17"/>
      <c r="G37" s="17"/>
      <c r="H37" s="17"/>
      <c r="I37" s="17"/>
      <c r="J37" s="17">
        <f t="shared" si="14"/>
        <v>3</v>
      </c>
    </row>
    <row r="38" ht="15.75" customHeight="1" spans="1:10">
      <c r="A38" s="17">
        <v>5</v>
      </c>
      <c r="B38" s="18" t="s">
        <v>82</v>
      </c>
      <c r="C38" s="18">
        <f t="shared" si="12"/>
        <v>0</v>
      </c>
      <c r="D38" s="18"/>
      <c r="E38" s="18">
        <f t="shared" si="13"/>
        <v>8</v>
      </c>
      <c r="F38" s="17" t="s">
        <v>97</v>
      </c>
      <c r="G38" s="17" t="s">
        <v>97</v>
      </c>
      <c r="H38" s="17" t="s">
        <v>97</v>
      </c>
      <c r="I38" s="17" t="s">
        <v>27</v>
      </c>
      <c r="J38" s="17">
        <f t="shared" si="14"/>
        <v>8</v>
      </c>
    </row>
    <row r="39" ht="15.75" customHeight="1" spans="1:10">
      <c r="A39" s="17">
        <v>6</v>
      </c>
      <c r="B39" s="18" t="s">
        <v>83</v>
      </c>
      <c r="C39" s="18">
        <f t="shared" si="12"/>
        <v>0</v>
      </c>
      <c r="D39" s="18"/>
      <c r="E39" s="18">
        <f t="shared" si="13"/>
        <v>8</v>
      </c>
      <c r="F39" s="17" t="s">
        <v>97</v>
      </c>
      <c r="G39" s="17" t="s">
        <v>97</v>
      </c>
      <c r="H39" s="17" t="s">
        <v>97</v>
      </c>
      <c r="I39" s="17" t="s">
        <v>91</v>
      </c>
      <c r="J39" s="17">
        <f t="shared" si="14"/>
        <v>8</v>
      </c>
    </row>
    <row r="40" ht="15.75" customHeight="1" spans="1:10">
      <c r="A40" s="21" t="s">
        <v>17</v>
      </c>
      <c r="B40" s="8"/>
      <c r="C40" s="8"/>
      <c r="D40" s="8"/>
      <c r="E40" s="8"/>
      <c r="F40" s="8"/>
      <c r="G40" s="8"/>
      <c r="H40" s="6"/>
      <c r="I40" s="49"/>
      <c r="J40" s="27">
        <f>SUM(J34:J39)</f>
        <v>28</v>
      </c>
    </row>
    <row r="41" ht="15.75" customHeight="1" spans="9:9">
      <c r="I41" s="4"/>
    </row>
    <row r="42" ht="15.75" customHeight="1" spans="9:9">
      <c r="I42" s="4"/>
    </row>
    <row r="43" ht="15.75" customHeight="1" spans="9:9">
      <c r="I43" s="4"/>
    </row>
    <row r="44" ht="15.75" customHeight="1" spans="2:9">
      <c r="B44" s="25" t="s">
        <v>98</v>
      </c>
      <c r="C44" s="22" t="s">
        <v>99</v>
      </c>
      <c r="D44" s="25" t="s">
        <v>100</v>
      </c>
      <c r="E44" s="25" t="s">
        <v>101</v>
      </c>
      <c r="I44" s="4"/>
    </row>
    <row r="45" ht="15.75" customHeight="1" spans="2:9">
      <c r="B45" s="26" t="s">
        <v>0</v>
      </c>
      <c r="C45" s="27">
        <f>'SE LOAD'!K15</f>
        <v>180</v>
      </c>
      <c r="D45" s="27">
        <v>151</v>
      </c>
      <c r="E45" s="27">
        <v>20</v>
      </c>
      <c r="I45" s="4"/>
    </row>
    <row r="46" ht="15.75" customHeight="1" spans="2:9">
      <c r="B46" s="26" t="s">
        <v>51</v>
      </c>
      <c r="C46" s="27">
        <f>'TE LOAD'!K14</f>
        <v>112</v>
      </c>
      <c r="D46" s="27">
        <v>112</v>
      </c>
      <c r="E46" s="27"/>
      <c r="I46" s="4"/>
    </row>
    <row r="47" ht="15.75" customHeight="1" spans="2:9">
      <c r="B47" s="26" t="s">
        <v>75</v>
      </c>
      <c r="C47" s="27">
        <f>K15</f>
        <v>104</v>
      </c>
      <c r="D47" s="27">
        <v>80</v>
      </c>
      <c r="E47" s="27">
        <v>24</v>
      </c>
      <c r="I47" s="4"/>
    </row>
    <row r="48" ht="15.75" customHeight="1" spans="2:9">
      <c r="B48" s="25" t="s">
        <v>102</v>
      </c>
      <c r="C48" s="22">
        <f t="shared" ref="C48:E48" si="15">SUM(C45:C47)</f>
        <v>396</v>
      </c>
      <c r="D48" s="27">
        <f t="shared" si="15"/>
        <v>343</v>
      </c>
      <c r="E48" s="27">
        <f t="shared" si="15"/>
        <v>44</v>
      </c>
      <c r="I48" s="4"/>
    </row>
    <row r="49" ht="15.75" customHeight="1" spans="9:9">
      <c r="I49" s="4"/>
    </row>
    <row r="50" ht="15.75" customHeight="1" spans="9:9">
      <c r="I50" s="4"/>
    </row>
    <row r="51" ht="15.75" customHeight="1" spans="9:9">
      <c r="I51" s="4"/>
    </row>
    <row r="52" ht="15.75" customHeight="1" spans="9:9">
      <c r="I52" s="4"/>
    </row>
    <row r="53" ht="15.75" customHeight="1" spans="9:9">
      <c r="I53" s="4"/>
    </row>
    <row r="54" ht="15.75" customHeight="1" spans="9:9">
      <c r="I54" s="4"/>
    </row>
    <row r="55" ht="15.75" customHeight="1" spans="9:9">
      <c r="I55" s="4"/>
    </row>
    <row r="56" ht="15.75" customHeight="1" spans="9:9">
      <c r="I56" s="4"/>
    </row>
    <row r="57" ht="15.75" customHeight="1" spans="9:9">
      <c r="I57" s="4"/>
    </row>
    <row r="58" ht="15.75" customHeight="1" spans="9:9">
      <c r="I58" s="4"/>
    </row>
    <row r="59" ht="15.75" customHeight="1" spans="9:9">
      <c r="I59" s="4"/>
    </row>
    <row r="60" ht="15.75" customHeight="1" spans="9:9">
      <c r="I60" s="4"/>
    </row>
    <row r="61" ht="15.75" customHeight="1" spans="9:9">
      <c r="I61" s="4"/>
    </row>
    <row r="62" ht="15.75" customHeight="1" spans="9:9">
      <c r="I62" s="4"/>
    </row>
    <row r="63" ht="15.75" customHeight="1" spans="9:9">
      <c r="I63" s="4"/>
    </row>
    <row r="64" ht="15.75" customHeight="1" spans="9:9">
      <c r="I64" s="4"/>
    </row>
    <row r="65" ht="15.75" customHeight="1" spans="9:9">
      <c r="I65" s="4"/>
    </row>
    <row r="66" ht="15.75" customHeight="1" spans="9:9">
      <c r="I66" s="4"/>
    </row>
    <row r="67" ht="15.75" customHeight="1" spans="9:9">
      <c r="I67" s="4"/>
    </row>
    <row r="68" ht="15.75" customHeight="1" spans="9:9">
      <c r="I68" s="4"/>
    </row>
    <row r="69" ht="15.75" customHeight="1" spans="9:9">
      <c r="I69" s="4"/>
    </row>
    <row r="70" ht="15.75" customHeight="1" spans="9:9">
      <c r="I70" s="4"/>
    </row>
    <row r="71" ht="15.75" customHeight="1" spans="9:9">
      <c r="I71" s="4"/>
    </row>
    <row r="72" ht="15.75" customHeight="1" spans="9:9">
      <c r="I72" s="4"/>
    </row>
    <row r="73" ht="15.75" customHeight="1" spans="9:9">
      <c r="I73" s="4"/>
    </row>
    <row r="74" ht="15.75" customHeight="1" spans="9:9">
      <c r="I74" s="4"/>
    </row>
    <row r="75" ht="15.75" customHeight="1" spans="9:9">
      <c r="I75" s="4"/>
    </row>
    <row r="76" ht="15.75" customHeight="1" spans="9:9">
      <c r="I76" s="4"/>
    </row>
    <row r="77" ht="15.75" customHeight="1" spans="9:9">
      <c r="I77" s="4"/>
    </row>
    <row r="78" ht="15.75" customHeight="1" spans="9:9">
      <c r="I78" s="4"/>
    </row>
    <row r="79" ht="15.75" customHeight="1" spans="9:9">
      <c r="I79" s="4"/>
    </row>
    <row r="80" ht="15.75" customHeight="1" spans="9:9">
      <c r="I80" s="4"/>
    </row>
    <row r="81" ht="15.75" customHeight="1" spans="9:9">
      <c r="I81" s="4"/>
    </row>
    <row r="82" ht="15.75" customHeight="1" spans="9:9">
      <c r="I82" s="4"/>
    </row>
    <row r="83" ht="15.75" customHeight="1" spans="9:9">
      <c r="I83" s="4"/>
    </row>
    <row r="84" ht="15.75" customHeight="1" spans="9:9">
      <c r="I84" s="4"/>
    </row>
    <row r="85" ht="15.75" customHeight="1" spans="9:9">
      <c r="I85" s="4"/>
    </row>
    <row r="86" ht="15.75" customHeight="1" spans="9:9">
      <c r="I86" s="4"/>
    </row>
    <row r="87" ht="15.75" customHeight="1" spans="9:9">
      <c r="I87" s="4"/>
    </row>
    <row r="88" ht="15.75" customHeight="1" spans="9:9">
      <c r="I88" s="4"/>
    </row>
    <row r="89" ht="15.75" customHeight="1" spans="9:9">
      <c r="I89" s="4"/>
    </row>
    <row r="90" ht="15.75" customHeight="1" spans="9:9">
      <c r="I90" s="4"/>
    </row>
    <row r="91" ht="15.75" customHeight="1" spans="9:9">
      <c r="I91" s="4"/>
    </row>
    <row r="92" ht="15.75" customHeight="1" spans="9:9">
      <c r="I92" s="4"/>
    </row>
    <row r="93" ht="15.75" customHeight="1" spans="9:9">
      <c r="I93" s="4"/>
    </row>
    <row r="94" ht="15.75" customHeight="1" spans="9:9">
      <c r="I94" s="4"/>
    </row>
    <row r="95" ht="15.75" customHeight="1" spans="9:9">
      <c r="I95" s="4"/>
    </row>
    <row r="96" ht="15.75" customHeight="1" spans="9:9">
      <c r="I96" s="4"/>
    </row>
    <row r="97" ht="15.75" customHeight="1" spans="9:9">
      <c r="I97" s="4"/>
    </row>
    <row r="98" ht="15.75" customHeight="1" spans="9:9">
      <c r="I98" s="4"/>
    </row>
    <row r="99" ht="15.75" customHeight="1" spans="9:9">
      <c r="I99" s="4"/>
    </row>
    <row r="100" ht="15.75" customHeight="1" spans="9:9">
      <c r="I100" s="4"/>
    </row>
    <row r="101" ht="15.75" customHeight="1" spans="9:9">
      <c r="I101" s="4"/>
    </row>
    <row r="102" ht="15.75" customHeight="1" spans="9:9">
      <c r="I102" s="4"/>
    </row>
    <row r="103" ht="15.75" customHeight="1" spans="9:9">
      <c r="I103" s="4"/>
    </row>
    <row r="104" ht="15.75" customHeight="1" spans="9:9">
      <c r="I104" s="4"/>
    </row>
    <row r="105" ht="15.75" customHeight="1" spans="9:9">
      <c r="I105" s="4"/>
    </row>
    <row r="106" ht="15.75" customHeight="1" spans="9:9">
      <c r="I106" s="4"/>
    </row>
    <row r="107" ht="15.75" customHeight="1" spans="9:9">
      <c r="I107" s="4"/>
    </row>
    <row r="108" ht="15.75" customHeight="1" spans="9:9">
      <c r="I108" s="4"/>
    </row>
    <row r="109" ht="15.75" customHeight="1" spans="9:9">
      <c r="I109" s="4"/>
    </row>
    <row r="110" ht="15.75" customHeight="1" spans="9:9">
      <c r="I110" s="4"/>
    </row>
    <row r="111" ht="15.75" customHeight="1" spans="9:9">
      <c r="I111" s="4"/>
    </row>
    <row r="112" ht="15.75" customHeight="1" spans="9:9">
      <c r="I112" s="4"/>
    </row>
    <row r="113" ht="15.75" customHeight="1" spans="9:9">
      <c r="I113" s="4"/>
    </row>
    <row r="114" ht="15.75" customHeight="1" spans="9:9">
      <c r="I114" s="4"/>
    </row>
    <row r="115" ht="15.75" customHeight="1" spans="9:9">
      <c r="I115" s="4"/>
    </row>
    <row r="116" ht="15.75" customHeight="1" spans="9:9">
      <c r="I116" s="4"/>
    </row>
    <row r="117" ht="15.75" customHeight="1" spans="9:9">
      <c r="I117" s="4"/>
    </row>
    <row r="118" ht="15.75" customHeight="1" spans="9:9">
      <c r="I118" s="4"/>
    </row>
    <row r="119" ht="15.75" customHeight="1" spans="9:9">
      <c r="I119" s="4"/>
    </row>
    <row r="120" ht="15.75" customHeight="1" spans="9:9">
      <c r="I120" s="4"/>
    </row>
    <row r="121" ht="15.75" customHeight="1" spans="9:9">
      <c r="I121" s="4"/>
    </row>
    <row r="122" ht="15.75" customHeight="1" spans="9:9">
      <c r="I122" s="4"/>
    </row>
    <row r="123" ht="15.75" customHeight="1" spans="9:9">
      <c r="I123" s="4"/>
    </row>
    <row r="124" ht="15.75" customHeight="1" spans="9:9">
      <c r="I124" s="4"/>
    </row>
    <row r="125" ht="15.75" customHeight="1" spans="9:9">
      <c r="I125" s="4"/>
    </row>
    <row r="126" ht="15.75" customHeight="1" spans="9:9">
      <c r="I126" s="4"/>
    </row>
    <row r="127" ht="15.75" customHeight="1" spans="9:9">
      <c r="I127" s="4"/>
    </row>
    <row r="128" ht="15.75" customHeight="1" spans="9:9">
      <c r="I128" s="4"/>
    </row>
    <row r="129" ht="15.75" customHeight="1" spans="9:9">
      <c r="I129" s="4"/>
    </row>
    <row r="130" ht="15.75" customHeight="1" spans="9:9">
      <c r="I130" s="4"/>
    </row>
    <row r="131" ht="15.75" customHeight="1" spans="9:9">
      <c r="I131" s="4"/>
    </row>
    <row r="132" ht="15.75" customHeight="1" spans="9:9">
      <c r="I132" s="4"/>
    </row>
    <row r="133" ht="15.75" customHeight="1" spans="9:9">
      <c r="I133" s="4"/>
    </row>
    <row r="134" ht="15.75" customHeight="1" spans="9:9">
      <c r="I134" s="4"/>
    </row>
    <row r="135" ht="15.75" customHeight="1" spans="9:9">
      <c r="I135" s="4"/>
    </row>
    <row r="136" ht="15.75" customHeight="1" spans="9:9">
      <c r="I136" s="4"/>
    </row>
    <row r="137" ht="15.75" customHeight="1" spans="9:9">
      <c r="I137" s="4"/>
    </row>
    <row r="138" ht="15.75" customHeight="1" spans="9:9">
      <c r="I138" s="4"/>
    </row>
    <row r="139" ht="15.75" customHeight="1" spans="9:9">
      <c r="I139" s="4"/>
    </row>
    <row r="140" ht="15.75" customHeight="1" spans="9:9">
      <c r="I140" s="4"/>
    </row>
    <row r="141" ht="15.75" customHeight="1" spans="9:9">
      <c r="I141" s="4"/>
    </row>
    <row r="142" ht="15.75" customHeight="1" spans="9:9">
      <c r="I142" s="4"/>
    </row>
    <row r="143" ht="15.75" customHeight="1" spans="9:9">
      <c r="I143" s="4"/>
    </row>
    <row r="144" ht="15.75" customHeight="1" spans="9:9">
      <c r="I144" s="4"/>
    </row>
    <row r="145" ht="15.75" customHeight="1" spans="9:9">
      <c r="I145" s="4"/>
    </row>
    <row r="146" ht="15.75" customHeight="1" spans="9:9">
      <c r="I146" s="4"/>
    </row>
    <row r="147" ht="15.75" customHeight="1" spans="9:9">
      <c r="I147" s="4"/>
    </row>
    <row r="148" ht="15.75" customHeight="1" spans="9:9">
      <c r="I148" s="4"/>
    </row>
    <row r="149" ht="15.75" customHeight="1" spans="9:9">
      <c r="I149" s="4"/>
    </row>
    <row r="150" ht="15.75" customHeight="1" spans="9:9">
      <c r="I150" s="4"/>
    </row>
    <row r="151" ht="15.75" customHeight="1" spans="9:9">
      <c r="I151" s="4"/>
    </row>
    <row r="152" ht="15.75" customHeight="1" spans="9:9">
      <c r="I152" s="4"/>
    </row>
    <row r="153" ht="15.75" customHeight="1" spans="9:9">
      <c r="I153" s="4"/>
    </row>
    <row r="154" ht="15.75" customHeight="1" spans="9:9">
      <c r="I154" s="4"/>
    </row>
    <row r="155" ht="15.75" customHeight="1" spans="9:9">
      <c r="I155" s="4"/>
    </row>
    <row r="156" ht="15.75" customHeight="1" spans="9:9">
      <c r="I156" s="4"/>
    </row>
    <row r="157" ht="15.75" customHeight="1" spans="9:9">
      <c r="I157" s="4"/>
    </row>
    <row r="158" ht="15.75" customHeight="1" spans="9:9">
      <c r="I158" s="4"/>
    </row>
    <row r="159" ht="15.75" customHeight="1" spans="9:9">
      <c r="I159" s="4"/>
    </row>
    <row r="160" ht="15.75" customHeight="1" spans="9:9">
      <c r="I160" s="4"/>
    </row>
    <row r="161" ht="15.75" customHeight="1" spans="9:9">
      <c r="I161" s="4"/>
    </row>
    <row r="162" ht="15.75" customHeight="1" spans="9:9">
      <c r="I162" s="4"/>
    </row>
    <row r="163" ht="15.75" customHeight="1" spans="9:9">
      <c r="I163" s="4"/>
    </row>
    <row r="164" ht="15.75" customHeight="1" spans="9:9">
      <c r="I164" s="4"/>
    </row>
    <row r="165" ht="15.75" customHeight="1" spans="9:9">
      <c r="I165" s="4"/>
    </row>
    <row r="166" ht="15.75" customHeight="1" spans="9:9">
      <c r="I166" s="4"/>
    </row>
    <row r="167" ht="15.75" customHeight="1" spans="9:9">
      <c r="I167" s="4"/>
    </row>
    <row r="168" ht="15.75" customHeight="1" spans="9:9">
      <c r="I168" s="4"/>
    </row>
    <row r="169" ht="15.75" customHeight="1" spans="9:9">
      <c r="I169" s="4"/>
    </row>
    <row r="170" ht="15.75" customHeight="1" spans="9:9">
      <c r="I170" s="4"/>
    </row>
    <row r="171" ht="15.75" customHeight="1" spans="9:9">
      <c r="I171" s="4"/>
    </row>
    <row r="172" ht="15.75" customHeight="1" spans="9:9">
      <c r="I172" s="4"/>
    </row>
    <row r="173" ht="15.75" customHeight="1" spans="9:9">
      <c r="I173" s="4"/>
    </row>
    <row r="174" ht="15.75" customHeight="1" spans="9:9">
      <c r="I174" s="4"/>
    </row>
    <row r="175" ht="15.75" customHeight="1" spans="9:9">
      <c r="I175" s="4"/>
    </row>
    <row r="176" ht="15.75" customHeight="1" spans="9:9">
      <c r="I176" s="4"/>
    </row>
    <row r="177" ht="15.75" customHeight="1" spans="9:9">
      <c r="I177" s="4"/>
    </row>
    <row r="178" ht="15.75" customHeight="1" spans="9:9">
      <c r="I178" s="4"/>
    </row>
    <row r="179" ht="15.75" customHeight="1" spans="9:9">
      <c r="I179" s="4"/>
    </row>
    <row r="180" ht="15.75" customHeight="1" spans="9:9">
      <c r="I180" s="4"/>
    </row>
    <row r="181" ht="15.75" customHeight="1" spans="9:9">
      <c r="I181" s="4"/>
    </row>
    <row r="182" ht="15.75" customHeight="1" spans="9:9">
      <c r="I182" s="4"/>
    </row>
    <row r="183" ht="15.75" customHeight="1" spans="9:9">
      <c r="I183" s="4"/>
    </row>
    <row r="184" ht="15.75" customHeight="1" spans="9:9">
      <c r="I184" s="4"/>
    </row>
    <row r="185" ht="15.75" customHeight="1" spans="9:9">
      <c r="I185" s="4"/>
    </row>
    <row r="186" ht="15.75" customHeight="1" spans="9:9">
      <c r="I186" s="4"/>
    </row>
    <row r="187" ht="15.75" customHeight="1" spans="9:9">
      <c r="I187" s="4"/>
    </row>
    <row r="188" ht="15.75" customHeight="1" spans="9:9">
      <c r="I188" s="4"/>
    </row>
    <row r="189" ht="15.75" customHeight="1" spans="9:9">
      <c r="I189" s="4"/>
    </row>
    <row r="190" ht="15.75" customHeight="1" spans="9:9">
      <c r="I190" s="4"/>
    </row>
    <row r="191" ht="15.75" customHeight="1" spans="9:9">
      <c r="I191" s="4"/>
    </row>
    <row r="192" ht="15.75" customHeight="1" spans="9:9">
      <c r="I192" s="4"/>
    </row>
    <row r="193" ht="15.75" customHeight="1" spans="9:9">
      <c r="I193" s="4"/>
    </row>
    <row r="194" ht="15.75" customHeight="1" spans="9:9">
      <c r="I194" s="4"/>
    </row>
    <row r="195" ht="15.75" customHeight="1" spans="9:9">
      <c r="I195" s="4"/>
    </row>
    <row r="196" ht="15.75" customHeight="1" spans="9:9">
      <c r="I196" s="4"/>
    </row>
    <row r="197" ht="15.75" customHeight="1" spans="9:9">
      <c r="I197" s="4"/>
    </row>
    <row r="198" ht="15.75" customHeight="1" spans="9:9">
      <c r="I198" s="4"/>
    </row>
    <row r="199" ht="15.75" customHeight="1" spans="9:9">
      <c r="I199" s="4"/>
    </row>
    <row r="200" ht="15.75" customHeight="1" spans="9:9">
      <c r="I200" s="4"/>
    </row>
    <row r="201" ht="15.75" customHeight="1" spans="9:9">
      <c r="I201" s="4"/>
    </row>
    <row r="202" ht="15.75" customHeight="1" spans="9:9">
      <c r="I202" s="4"/>
    </row>
    <row r="203" ht="15.75" customHeight="1" spans="9:9">
      <c r="I203" s="4"/>
    </row>
    <row r="204" ht="15.75" customHeight="1" spans="9:9">
      <c r="I204" s="4"/>
    </row>
    <row r="205" ht="15.75" customHeight="1" spans="9:9">
      <c r="I205" s="4"/>
    </row>
    <row r="206" ht="15.75" customHeight="1" spans="9:9">
      <c r="I206" s="4"/>
    </row>
    <row r="207" ht="15.75" customHeight="1" spans="9:9">
      <c r="I207" s="4"/>
    </row>
    <row r="208" ht="15.75" customHeight="1" spans="9:9">
      <c r="I208" s="4"/>
    </row>
    <row r="209" ht="15.75" customHeight="1" spans="9:9">
      <c r="I209" s="4"/>
    </row>
    <row r="210" ht="15.75" customHeight="1" spans="9:9">
      <c r="I210" s="4"/>
    </row>
    <row r="211" ht="15.75" customHeight="1" spans="9:9">
      <c r="I211" s="4"/>
    </row>
    <row r="212" ht="15.75" customHeight="1" spans="9:9">
      <c r="I212" s="4"/>
    </row>
    <row r="213" ht="15.75" customHeight="1" spans="9:9">
      <c r="I213" s="4"/>
    </row>
    <row r="214" ht="15.75" customHeight="1" spans="9:9">
      <c r="I214" s="4"/>
    </row>
    <row r="215" ht="15.75" customHeight="1" spans="9:9">
      <c r="I215" s="4"/>
    </row>
    <row r="216" ht="15.75" customHeight="1" spans="9:9">
      <c r="I216" s="4"/>
    </row>
    <row r="217" ht="15.75" customHeight="1" spans="9:9">
      <c r="I217" s="4"/>
    </row>
    <row r="218" ht="15.75" customHeight="1" spans="9:9">
      <c r="I218" s="4"/>
    </row>
    <row r="219" ht="15.75" customHeight="1" spans="9:9">
      <c r="I219" s="4"/>
    </row>
    <row r="220" ht="15.75" customHeight="1" spans="9:9">
      <c r="I220" s="4"/>
    </row>
    <row r="221" ht="15.75" customHeight="1" spans="9:9">
      <c r="I221" s="4"/>
    </row>
    <row r="222" ht="15.75" customHeight="1" spans="9:9">
      <c r="I222" s="4"/>
    </row>
    <row r="223" ht="15.75" customHeight="1" spans="9:9">
      <c r="I223" s="4"/>
    </row>
    <row r="224" ht="15.75" customHeight="1" spans="9:9">
      <c r="I224" s="4"/>
    </row>
    <row r="225" ht="15.75" customHeight="1" spans="9:9">
      <c r="I225" s="4"/>
    </row>
    <row r="226" ht="15.75" customHeight="1" spans="9:9">
      <c r="I226" s="4"/>
    </row>
    <row r="227" ht="15.75" customHeight="1" spans="9:9">
      <c r="I227" s="4"/>
    </row>
    <row r="228" ht="15.75" customHeight="1" spans="9:9">
      <c r="I228" s="4"/>
    </row>
    <row r="229" ht="15.75" customHeight="1" spans="9:9">
      <c r="I229" s="4"/>
    </row>
    <row r="230" ht="15.75" customHeight="1" spans="9:9">
      <c r="I230" s="4"/>
    </row>
    <row r="231" ht="15.75" customHeight="1" spans="9:9">
      <c r="I231" s="4"/>
    </row>
    <row r="232" ht="15.75" customHeight="1" spans="9:9">
      <c r="I232" s="4"/>
    </row>
    <row r="233" ht="15.75" customHeight="1" spans="9:9">
      <c r="I233" s="4"/>
    </row>
    <row r="234" ht="15.75" customHeight="1" spans="9:9">
      <c r="I234" s="4"/>
    </row>
    <row r="235" ht="15.75" customHeight="1" spans="9:9">
      <c r="I235" s="4"/>
    </row>
    <row r="236" ht="15.75" customHeight="1" spans="9:9">
      <c r="I236" s="4"/>
    </row>
    <row r="237" ht="15.75" customHeight="1" spans="9:9">
      <c r="I237" s="4"/>
    </row>
    <row r="238" ht="15.75" customHeight="1" spans="9:9">
      <c r="I238" s="4"/>
    </row>
    <row r="239" ht="15.75" customHeight="1" spans="9:9">
      <c r="I239" s="4"/>
    </row>
    <row r="240" ht="15.75" customHeight="1" spans="9:9">
      <c r="I240" s="4"/>
    </row>
    <row r="241" ht="15.75" customHeight="1" spans="9:9">
      <c r="I241" s="4"/>
    </row>
    <row r="242" ht="15.75" customHeight="1" spans="9:9">
      <c r="I242" s="4"/>
    </row>
    <row r="243" ht="15.75" customHeight="1" spans="9:9">
      <c r="I243" s="4"/>
    </row>
    <row r="244" ht="15.75" customHeight="1" spans="9:9">
      <c r="I244" s="4"/>
    </row>
    <row r="245" ht="15.75" customHeight="1" spans="9:9">
      <c r="I245" s="4"/>
    </row>
    <row r="246" ht="15.75" customHeight="1" spans="9:9">
      <c r="I246" s="4"/>
    </row>
    <row r="247" ht="15.75" customHeight="1" spans="9:9">
      <c r="I247" s="4"/>
    </row>
    <row r="248" ht="15.75" customHeight="1" spans="9:9">
      <c r="I248" s="4"/>
    </row>
    <row r="249" ht="15.75" customHeight="1" spans="9:9">
      <c r="I249" s="4"/>
    </row>
    <row r="250" ht="15.75" customHeight="1" spans="9:9">
      <c r="I250" s="4"/>
    </row>
    <row r="251" ht="15.75" customHeight="1" spans="9:9">
      <c r="I251" s="4"/>
    </row>
    <row r="252" ht="15.75" customHeight="1" spans="9:9">
      <c r="I252" s="4"/>
    </row>
    <row r="253" ht="15.75" customHeight="1" spans="9:9">
      <c r="I253" s="4"/>
    </row>
    <row r="254" ht="15.75" customHeight="1" spans="9:9">
      <c r="I254" s="4"/>
    </row>
    <row r="255" ht="15.75" customHeight="1" spans="9:9">
      <c r="I255" s="4"/>
    </row>
    <row r="256" ht="15.75" customHeight="1" spans="9:9">
      <c r="I256" s="4"/>
    </row>
    <row r="257" ht="15.75" customHeight="1" spans="9:9">
      <c r="I257" s="4"/>
    </row>
    <row r="258" ht="15.75" customHeight="1" spans="9:9">
      <c r="I258" s="4"/>
    </row>
    <row r="259" ht="15.75" customHeight="1" spans="9:9">
      <c r="I259" s="4"/>
    </row>
    <row r="260" ht="15.75" customHeight="1" spans="9:9">
      <c r="I260" s="4"/>
    </row>
    <row r="261" ht="15.75" customHeight="1" spans="9:9">
      <c r="I261" s="4"/>
    </row>
    <row r="262" ht="15.75" customHeight="1" spans="9:9">
      <c r="I262" s="4"/>
    </row>
    <row r="263" ht="15.75" customHeight="1" spans="9:9">
      <c r="I263" s="4"/>
    </row>
    <row r="264" ht="15.75" customHeight="1" spans="9:9">
      <c r="I264" s="4"/>
    </row>
    <row r="265" ht="15.75" customHeight="1" spans="9:9">
      <c r="I265" s="4"/>
    </row>
    <row r="266" ht="15.75" customHeight="1" spans="9:9">
      <c r="I266" s="4"/>
    </row>
    <row r="267" ht="15.75" customHeight="1" spans="9:9">
      <c r="I267" s="4"/>
    </row>
    <row r="268" ht="15.75" customHeight="1" spans="9:9">
      <c r="I268" s="4"/>
    </row>
    <row r="269" ht="15.75" customHeight="1" spans="9:9">
      <c r="I269" s="4"/>
    </row>
    <row r="270" ht="15.75" customHeight="1" spans="9:9">
      <c r="I270" s="4"/>
    </row>
    <row r="271" ht="15.75" customHeight="1" spans="9:9">
      <c r="I271" s="4"/>
    </row>
    <row r="272" ht="15.75" customHeight="1" spans="9:9">
      <c r="I272" s="4"/>
    </row>
    <row r="273" ht="15.75" customHeight="1" spans="9:9">
      <c r="I273" s="4"/>
    </row>
    <row r="274" ht="15.75" customHeight="1" spans="9:9">
      <c r="I274" s="4"/>
    </row>
    <row r="275" ht="15.75" customHeight="1" spans="9:9">
      <c r="I275" s="4"/>
    </row>
    <row r="276" ht="15.75" customHeight="1" spans="9:9">
      <c r="I276" s="4"/>
    </row>
    <row r="277" ht="15.75" customHeight="1" spans="9:9">
      <c r="I277" s="4"/>
    </row>
    <row r="278" ht="15.75" customHeight="1" spans="9:9">
      <c r="I278" s="4"/>
    </row>
    <row r="279" ht="15.75" customHeight="1" spans="9:9">
      <c r="I279" s="4"/>
    </row>
    <row r="280" ht="15.75" customHeight="1" spans="9:9">
      <c r="I280" s="4"/>
    </row>
    <row r="281" ht="15.75" customHeight="1" spans="9:9">
      <c r="I281" s="4"/>
    </row>
    <row r="282" ht="15.75" customHeight="1" spans="9:9">
      <c r="I282" s="4"/>
    </row>
    <row r="283" ht="15.75" customHeight="1" spans="9:9">
      <c r="I283" s="4"/>
    </row>
    <row r="284" ht="15.75" customHeight="1" spans="9:9">
      <c r="I284" s="4"/>
    </row>
    <row r="285" ht="15.75" customHeight="1" spans="9:9">
      <c r="I285" s="4"/>
    </row>
    <row r="286" ht="15.75" customHeight="1" spans="9:9">
      <c r="I286" s="4"/>
    </row>
    <row r="287" ht="15.75" customHeight="1" spans="9:9">
      <c r="I287" s="4"/>
    </row>
    <row r="288" ht="15.75" customHeight="1" spans="9:9">
      <c r="I288" s="4"/>
    </row>
    <row r="289" ht="15.75" customHeight="1" spans="9:9">
      <c r="I289" s="4"/>
    </row>
    <row r="290" ht="15.75" customHeight="1" spans="9:9">
      <c r="I290" s="4"/>
    </row>
    <row r="291" ht="15.75" customHeight="1" spans="9:9">
      <c r="I291" s="4"/>
    </row>
    <row r="292" ht="15.75" customHeight="1" spans="9:9">
      <c r="I292" s="4"/>
    </row>
    <row r="293" ht="15.75" customHeight="1" spans="9:9">
      <c r="I293" s="4"/>
    </row>
    <row r="294" ht="15.75" customHeight="1" spans="9:9">
      <c r="I294" s="4"/>
    </row>
    <row r="295" ht="15.75" customHeight="1" spans="9:9">
      <c r="I295" s="4"/>
    </row>
    <row r="296" ht="15.75" customHeight="1" spans="9:9">
      <c r="I296" s="4"/>
    </row>
    <row r="297" ht="15.75" customHeight="1" spans="9:9">
      <c r="I297" s="4"/>
    </row>
    <row r="298" ht="15.75" customHeight="1" spans="9:9">
      <c r="I298" s="4"/>
    </row>
    <row r="299" ht="15.75" customHeight="1" spans="9:9">
      <c r="I299" s="4"/>
    </row>
    <row r="300" ht="15.75" customHeight="1" spans="9:9">
      <c r="I300" s="4"/>
    </row>
    <row r="301" ht="15.75" customHeight="1" spans="9:9">
      <c r="I301" s="4"/>
    </row>
    <row r="302" ht="15.75" customHeight="1" spans="9:9">
      <c r="I302" s="4"/>
    </row>
    <row r="303" ht="15.75" customHeight="1" spans="9:9">
      <c r="I303" s="4"/>
    </row>
    <row r="304" ht="15.75" customHeight="1" spans="9:9">
      <c r="I304" s="4"/>
    </row>
    <row r="305" ht="15.75" customHeight="1" spans="9:9">
      <c r="I305" s="4"/>
    </row>
    <row r="306" ht="15.75" customHeight="1" spans="9:9">
      <c r="I306" s="4"/>
    </row>
    <row r="307" ht="15.75" customHeight="1" spans="9:9">
      <c r="I307" s="4"/>
    </row>
    <row r="308" ht="15.75" customHeight="1" spans="9:9">
      <c r="I308" s="4"/>
    </row>
    <row r="309" ht="15.75" customHeight="1" spans="9:9">
      <c r="I309" s="4"/>
    </row>
    <row r="310" ht="15.75" customHeight="1" spans="9:9">
      <c r="I310" s="4"/>
    </row>
    <row r="311" ht="15.75" customHeight="1" spans="9:9">
      <c r="I311" s="4"/>
    </row>
    <row r="312" ht="15.75" customHeight="1" spans="9:9">
      <c r="I312" s="4"/>
    </row>
    <row r="313" ht="15.75" customHeight="1" spans="9:9">
      <c r="I313" s="4"/>
    </row>
    <row r="314" ht="15.75" customHeight="1" spans="9:9">
      <c r="I314" s="4"/>
    </row>
    <row r="315" ht="15.75" customHeight="1" spans="9:9">
      <c r="I315" s="4"/>
    </row>
    <row r="316" ht="15.75" customHeight="1" spans="9:9">
      <c r="I316" s="4"/>
    </row>
    <row r="317" ht="15.75" customHeight="1" spans="9:9">
      <c r="I317" s="4"/>
    </row>
    <row r="318" ht="15.75" customHeight="1" spans="9:9">
      <c r="I318" s="4"/>
    </row>
    <row r="319" ht="15.75" customHeight="1" spans="9:9">
      <c r="I319" s="4"/>
    </row>
    <row r="320" ht="15.75" customHeight="1" spans="9:9">
      <c r="I320" s="4"/>
    </row>
    <row r="321" ht="15.75" customHeight="1" spans="9:9">
      <c r="I321" s="4"/>
    </row>
    <row r="322" ht="15.75" customHeight="1" spans="9:9">
      <c r="I322" s="4"/>
    </row>
    <row r="323" ht="15.75" customHeight="1" spans="9:9">
      <c r="I323" s="4"/>
    </row>
    <row r="324" ht="15.75" customHeight="1" spans="9:9">
      <c r="I324" s="4"/>
    </row>
    <row r="325" ht="15.75" customHeight="1" spans="9:9">
      <c r="I325" s="4"/>
    </row>
    <row r="326" ht="15.75" customHeight="1" spans="9:9">
      <c r="I326" s="4"/>
    </row>
    <row r="327" ht="15.75" customHeight="1" spans="9:9">
      <c r="I327" s="4"/>
    </row>
    <row r="328" ht="15.75" customHeight="1" spans="9:9">
      <c r="I328" s="4"/>
    </row>
    <row r="329" ht="15.75" customHeight="1" spans="9:9">
      <c r="I329" s="4"/>
    </row>
    <row r="330" ht="15.75" customHeight="1" spans="9:9">
      <c r="I330" s="4"/>
    </row>
    <row r="331" ht="15.75" customHeight="1" spans="9:9">
      <c r="I331" s="4"/>
    </row>
    <row r="332" ht="15.75" customHeight="1" spans="9:9">
      <c r="I332" s="4"/>
    </row>
    <row r="333" ht="15.75" customHeight="1" spans="9:9">
      <c r="I333" s="4"/>
    </row>
    <row r="334" ht="15.75" customHeight="1" spans="9:9">
      <c r="I334" s="4"/>
    </row>
    <row r="335" ht="15.75" customHeight="1" spans="9:9">
      <c r="I335" s="4"/>
    </row>
    <row r="336" ht="15.75" customHeight="1" spans="9:9">
      <c r="I336" s="4"/>
    </row>
    <row r="337" ht="15.75" customHeight="1" spans="9:9">
      <c r="I337" s="4"/>
    </row>
    <row r="338" ht="15.75" customHeight="1" spans="9:9">
      <c r="I338" s="4"/>
    </row>
    <row r="339" ht="15.75" customHeight="1" spans="9:9">
      <c r="I339" s="4"/>
    </row>
    <row r="340" ht="15.75" customHeight="1" spans="9:9">
      <c r="I340" s="4"/>
    </row>
    <row r="341" ht="15.75" customHeight="1" spans="9:9">
      <c r="I341" s="4"/>
    </row>
    <row r="342" ht="15.75" customHeight="1" spans="9:9">
      <c r="I342" s="4"/>
    </row>
    <row r="343" ht="15.75" customHeight="1" spans="9:9">
      <c r="I343" s="4"/>
    </row>
    <row r="344" ht="15.75" customHeight="1" spans="9:9">
      <c r="I344" s="4"/>
    </row>
    <row r="345" ht="15.75" customHeight="1" spans="9:9">
      <c r="I345" s="4"/>
    </row>
    <row r="346" ht="15.75" customHeight="1" spans="9:9">
      <c r="I346" s="4"/>
    </row>
    <row r="347" ht="15.75" customHeight="1" spans="9:9">
      <c r="I347" s="4"/>
    </row>
    <row r="348" ht="15.75" customHeight="1" spans="9:9">
      <c r="I348" s="4"/>
    </row>
    <row r="349" ht="15.75" customHeight="1" spans="9:9">
      <c r="I349" s="4"/>
    </row>
    <row r="350" ht="15.75" customHeight="1" spans="9:9">
      <c r="I350" s="4"/>
    </row>
    <row r="351" ht="15.75" customHeight="1" spans="9:9">
      <c r="I351" s="4"/>
    </row>
    <row r="352" ht="15.75" customHeight="1" spans="9:9">
      <c r="I352" s="4"/>
    </row>
    <row r="353" ht="15.75" customHeight="1" spans="9:9">
      <c r="I353" s="4"/>
    </row>
    <row r="354" ht="15.75" customHeight="1" spans="9:9">
      <c r="I354" s="4"/>
    </row>
    <row r="355" ht="15.75" customHeight="1" spans="9:9">
      <c r="I355" s="4"/>
    </row>
    <row r="356" ht="15.75" customHeight="1" spans="9:9">
      <c r="I356" s="4"/>
    </row>
    <row r="357" ht="15.75" customHeight="1" spans="9:9">
      <c r="I357" s="4"/>
    </row>
    <row r="358" ht="15.75" customHeight="1" spans="9:9">
      <c r="I358" s="4"/>
    </row>
    <row r="359" ht="15.75" customHeight="1" spans="9:9">
      <c r="I359" s="4"/>
    </row>
    <row r="360" ht="15.75" customHeight="1" spans="9:9">
      <c r="I360" s="4"/>
    </row>
    <row r="361" ht="15.75" customHeight="1" spans="9:9">
      <c r="I361" s="4"/>
    </row>
    <row r="362" ht="15.75" customHeight="1" spans="9:9">
      <c r="I362" s="4"/>
    </row>
    <row r="363" ht="15.75" customHeight="1" spans="9:9">
      <c r="I363" s="4"/>
    </row>
    <row r="364" ht="15.75" customHeight="1" spans="9:9">
      <c r="I364" s="4"/>
    </row>
    <row r="365" ht="15.75" customHeight="1" spans="9:9">
      <c r="I365" s="4"/>
    </row>
    <row r="366" ht="15.75" customHeight="1" spans="9:9">
      <c r="I366" s="4"/>
    </row>
    <row r="367" ht="15.75" customHeight="1" spans="9:9">
      <c r="I367" s="4"/>
    </row>
    <row r="368" ht="15.75" customHeight="1" spans="9:9">
      <c r="I368" s="4"/>
    </row>
    <row r="369" ht="15.75" customHeight="1" spans="9:9">
      <c r="I369" s="4"/>
    </row>
    <row r="370" ht="15.75" customHeight="1" spans="9:9">
      <c r="I370" s="4"/>
    </row>
    <row r="371" ht="15.75" customHeight="1" spans="9:9">
      <c r="I371" s="4"/>
    </row>
    <row r="372" ht="15.75" customHeight="1" spans="9:9">
      <c r="I372" s="4"/>
    </row>
    <row r="373" ht="15.75" customHeight="1" spans="9:9">
      <c r="I373" s="4"/>
    </row>
    <row r="374" ht="15.75" customHeight="1" spans="9:9">
      <c r="I374" s="4"/>
    </row>
    <row r="375" ht="15.75" customHeight="1" spans="9:9">
      <c r="I375" s="4"/>
    </row>
    <row r="376" ht="15.75" customHeight="1" spans="9:9">
      <c r="I376" s="4"/>
    </row>
    <row r="377" ht="15.75" customHeight="1" spans="9:9">
      <c r="I377" s="4"/>
    </row>
    <row r="378" ht="15.75" customHeight="1" spans="9:9">
      <c r="I378" s="4"/>
    </row>
    <row r="379" ht="15.75" customHeight="1" spans="9:9">
      <c r="I379" s="4"/>
    </row>
    <row r="380" ht="15.75" customHeight="1" spans="9:9">
      <c r="I380" s="4"/>
    </row>
    <row r="381" ht="15.75" customHeight="1" spans="9:9">
      <c r="I381" s="4"/>
    </row>
    <row r="382" ht="15.75" customHeight="1" spans="9:9">
      <c r="I382" s="4"/>
    </row>
    <row r="383" ht="15.75" customHeight="1" spans="9:9">
      <c r="I383" s="4"/>
    </row>
    <row r="384" ht="15.75" customHeight="1" spans="9:9">
      <c r="I384" s="4"/>
    </row>
    <row r="385" ht="15.75" customHeight="1" spans="9:9">
      <c r="I385" s="4"/>
    </row>
    <row r="386" ht="15.75" customHeight="1" spans="9:9">
      <c r="I386" s="4"/>
    </row>
    <row r="387" ht="15.75" customHeight="1" spans="9:9">
      <c r="I387" s="4"/>
    </row>
    <row r="388" ht="15.75" customHeight="1" spans="9:9">
      <c r="I388" s="4"/>
    </row>
    <row r="389" ht="15.75" customHeight="1" spans="9:9">
      <c r="I389" s="4"/>
    </row>
    <row r="390" ht="15.75" customHeight="1" spans="9:9">
      <c r="I390" s="4"/>
    </row>
    <row r="391" ht="15.75" customHeight="1" spans="9:9">
      <c r="I391" s="4"/>
    </row>
    <row r="392" ht="15.75" customHeight="1" spans="9:9">
      <c r="I392" s="4"/>
    </row>
    <row r="393" ht="15.75" customHeight="1" spans="9:9">
      <c r="I393" s="4"/>
    </row>
    <row r="394" ht="15.75" customHeight="1" spans="9:9">
      <c r="I394" s="4"/>
    </row>
    <row r="395" ht="15.75" customHeight="1" spans="9:9">
      <c r="I395" s="4"/>
    </row>
    <row r="396" ht="15.75" customHeight="1" spans="9:9">
      <c r="I396" s="4"/>
    </row>
    <row r="397" ht="15.75" customHeight="1" spans="9:9">
      <c r="I397" s="4"/>
    </row>
    <row r="398" ht="15.75" customHeight="1" spans="9:9">
      <c r="I398" s="4"/>
    </row>
    <row r="399" ht="15.75" customHeight="1" spans="9:9">
      <c r="I399" s="4"/>
    </row>
    <row r="400" ht="15.75" customHeight="1" spans="9:9">
      <c r="I400" s="4"/>
    </row>
    <row r="401" ht="15.75" customHeight="1" spans="9:9">
      <c r="I401" s="4"/>
    </row>
    <row r="402" ht="15.75" customHeight="1" spans="9:9">
      <c r="I402" s="4"/>
    </row>
    <row r="403" ht="15.75" customHeight="1" spans="9:9">
      <c r="I403" s="4"/>
    </row>
    <row r="404" ht="15.75" customHeight="1" spans="9:9">
      <c r="I404" s="4"/>
    </row>
    <row r="405" ht="15.75" customHeight="1" spans="9:9">
      <c r="I405" s="4"/>
    </row>
    <row r="406" ht="15.75" customHeight="1" spans="9:9">
      <c r="I406" s="4"/>
    </row>
    <row r="407" ht="15.75" customHeight="1" spans="9:9">
      <c r="I407" s="4"/>
    </row>
    <row r="408" ht="15.75" customHeight="1" spans="9:9">
      <c r="I408" s="4"/>
    </row>
    <row r="409" ht="15.75" customHeight="1" spans="9:9">
      <c r="I409" s="4"/>
    </row>
    <row r="410" ht="15.75" customHeight="1" spans="9:9">
      <c r="I410" s="4"/>
    </row>
    <row r="411" ht="15.75" customHeight="1" spans="9:9">
      <c r="I411" s="4"/>
    </row>
    <row r="412" ht="15.75" customHeight="1" spans="9:9">
      <c r="I412" s="4"/>
    </row>
    <row r="413" ht="15.75" customHeight="1" spans="9:9">
      <c r="I413" s="4"/>
    </row>
    <row r="414" ht="15.75" customHeight="1" spans="9:9">
      <c r="I414" s="4"/>
    </row>
    <row r="415" ht="15.75" customHeight="1" spans="9:9">
      <c r="I415" s="4"/>
    </row>
    <row r="416" ht="15.75" customHeight="1" spans="9:9">
      <c r="I416" s="4"/>
    </row>
    <row r="417" ht="15.75" customHeight="1" spans="9:9">
      <c r="I417" s="4"/>
    </row>
    <row r="418" ht="15.75" customHeight="1" spans="9:9">
      <c r="I418" s="4"/>
    </row>
    <row r="419" ht="15.75" customHeight="1" spans="9:9">
      <c r="I419" s="4"/>
    </row>
    <row r="420" ht="15.75" customHeight="1" spans="9:9">
      <c r="I420" s="4"/>
    </row>
    <row r="421" ht="15.75" customHeight="1" spans="9:9">
      <c r="I421" s="4"/>
    </row>
    <row r="422" ht="15.75" customHeight="1" spans="9:9">
      <c r="I422" s="4"/>
    </row>
    <row r="423" ht="15.75" customHeight="1" spans="9:9">
      <c r="I423" s="4"/>
    </row>
    <row r="424" ht="15.75" customHeight="1" spans="9:9">
      <c r="I424" s="4"/>
    </row>
    <row r="425" ht="15.75" customHeight="1" spans="9:9">
      <c r="I425" s="4"/>
    </row>
    <row r="426" ht="15.75" customHeight="1" spans="9:9">
      <c r="I426" s="4"/>
    </row>
    <row r="427" ht="15.75" customHeight="1" spans="9:9">
      <c r="I427" s="4"/>
    </row>
    <row r="428" ht="15.75" customHeight="1" spans="9:9">
      <c r="I428" s="4"/>
    </row>
    <row r="429" ht="15.75" customHeight="1" spans="9:9">
      <c r="I429" s="4"/>
    </row>
    <row r="430" ht="15.75" customHeight="1" spans="9:9">
      <c r="I430" s="4"/>
    </row>
    <row r="431" ht="15.75" customHeight="1" spans="9:9">
      <c r="I431" s="4"/>
    </row>
    <row r="432" ht="15.75" customHeight="1" spans="9:9">
      <c r="I432" s="4"/>
    </row>
    <row r="433" ht="15.75" customHeight="1" spans="9:9">
      <c r="I433" s="4"/>
    </row>
    <row r="434" ht="15.75" customHeight="1" spans="9:9">
      <c r="I434" s="4"/>
    </row>
    <row r="435" ht="15.75" customHeight="1" spans="9:9">
      <c r="I435" s="4"/>
    </row>
    <row r="436" ht="15.75" customHeight="1" spans="9:9">
      <c r="I436" s="4"/>
    </row>
    <row r="437" ht="15.75" customHeight="1" spans="9:9">
      <c r="I437" s="4"/>
    </row>
    <row r="438" ht="15.75" customHeight="1" spans="9:9">
      <c r="I438" s="4"/>
    </row>
    <row r="439" ht="15.75" customHeight="1" spans="9:9">
      <c r="I439" s="4"/>
    </row>
    <row r="440" ht="15.75" customHeight="1" spans="9:9">
      <c r="I440" s="4"/>
    </row>
    <row r="441" ht="15.75" customHeight="1" spans="9:9">
      <c r="I441" s="4"/>
    </row>
    <row r="442" ht="15.75" customHeight="1" spans="9:9">
      <c r="I442" s="4"/>
    </row>
    <row r="443" ht="15.75" customHeight="1" spans="9:9">
      <c r="I443" s="4"/>
    </row>
    <row r="444" ht="15.75" customHeight="1" spans="9:9">
      <c r="I444" s="4"/>
    </row>
    <row r="445" ht="15.75" customHeight="1" spans="9:9">
      <c r="I445" s="4"/>
    </row>
    <row r="446" ht="15.75" customHeight="1" spans="9:9">
      <c r="I446" s="4"/>
    </row>
    <row r="447" ht="15.75" customHeight="1" spans="9:9">
      <c r="I447" s="4"/>
    </row>
    <row r="448" ht="15.75" customHeight="1" spans="9:9">
      <c r="I448" s="4"/>
    </row>
    <row r="449" ht="15.75" customHeight="1" spans="9:9">
      <c r="I449" s="4"/>
    </row>
    <row r="450" ht="15.75" customHeight="1" spans="9:9">
      <c r="I450" s="4"/>
    </row>
    <row r="451" ht="15.75" customHeight="1" spans="9:9">
      <c r="I451" s="4"/>
    </row>
    <row r="452" ht="15.75" customHeight="1" spans="9:9">
      <c r="I452" s="4"/>
    </row>
    <row r="453" ht="15.75" customHeight="1" spans="9:9">
      <c r="I453" s="4"/>
    </row>
    <row r="454" ht="15.75" customHeight="1" spans="9:9">
      <c r="I454" s="4"/>
    </row>
    <row r="455" ht="15.75" customHeight="1" spans="9:9">
      <c r="I455" s="4"/>
    </row>
    <row r="456" ht="15.75" customHeight="1" spans="9:9">
      <c r="I456" s="4"/>
    </row>
    <row r="457" ht="15.75" customHeight="1" spans="9:9">
      <c r="I457" s="4"/>
    </row>
    <row r="458" ht="15.75" customHeight="1" spans="9:9">
      <c r="I458" s="4"/>
    </row>
    <row r="459" ht="15.75" customHeight="1" spans="9:9">
      <c r="I459" s="4"/>
    </row>
    <row r="460" ht="15.75" customHeight="1" spans="9:9">
      <c r="I460" s="4"/>
    </row>
    <row r="461" ht="15.75" customHeight="1" spans="9:9">
      <c r="I461" s="4"/>
    </row>
    <row r="462" ht="15.75" customHeight="1" spans="9:9">
      <c r="I462" s="4"/>
    </row>
    <row r="463" ht="15.75" customHeight="1" spans="9:9">
      <c r="I463" s="4"/>
    </row>
    <row r="464" ht="15.75" customHeight="1" spans="9:9">
      <c r="I464" s="4"/>
    </row>
    <row r="465" ht="15.75" customHeight="1" spans="9:9">
      <c r="I465" s="4"/>
    </row>
    <row r="466" ht="15.75" customHeight="1" spans="9:9">
      <c r="I466" s="4"/>
    </row>
    <row r="467" ht="15.75" customHeight="1" spans="9:9">
      <c r="I467" s="4"/>
    </row>
    <row r="468" ht="15.75" customHeight="1" spans="9:9">
      <c r="I468" s="4"/>
    </row>
    <row r="469" ht="15.75" customHeight="1" spans="9:9">
      <c r="I469" s="4"/>
    </row>
    <row r="470" ht="15.75" customHeight="1" spans="9:9">
      <c r="I470" s="4"/>
    </row>
    <row r="471" ht="15.75" customHeight="1" spans="9:9">
      <c r="I471" s="4"/>
    </row>
    <row r="472" ht="15.75" customHeight="1" spans="9:9">
      <c r="I472" s="4"/>
    </row>
    <row r="473" ht="15.75" customHeight="1" spans="9:9">
      <c r="I473" s="4"/>
    </row>
    <row r="474" ht="15.75" customHeight="1" spans="9:9">
      <c r="I474" s="4"/>
    </row>
    <row r="475" ht="15.75" customHeight="1" spans="9:9">
      <c r="I475" s="4"/>
    </row>
    <row r="476" ht="15.75" customHeight="1" spans="9:9">
      <c r="I476" s="4"/>
    </row>
    <row r="477" ht="15.75" customHeight="1" spans="9:9">
      <c r="I477" s="4"/>
    </row>
    <row r="478" ht="15.75" customHeight="1" spans="9:9">
      <c r="I478" s="4"/>
    </row>
    <row r="479" ht="15.75" customHeight="1" spans="9:9">
      <c r="I479" s="4"/>
    </row>
    <row r="480" ht="15.75" customHeight="1" spans="9:9">
      <c r="I480" s="4"/>
    </row>
    <row r="481" ht="15.75" customHeight="1" spans="9:9">
      <c r="I481" s="4"/>
    </row>
    <row r="482" ht="15.75" customHeight="1" spans="9:9">
      <c r="I482" s="4"/>
    </row>
    <row r="483" ht="15.75" customHeight="1" spans="9:9">
      <c r="I483" s="4"/>
    </row>
    <row r="484" ht="15.75" customHeight="1" spans="9:9">
      <c r="I484" s="4"/>
    </row>
    <row r="485" ht="15.75" customHeight="1" spans="9:9">
      <c r="I485" s="4"/>
    </row>
    <row r="486" ht="15.75" customHeight="1" spans="9:9">
      <c r="I486" s="4"/>
    </row>
    <row r="487" ht="15.75" customHeight="1" spans="9:9">
      <c r="I487" s="4"/>
    </row>
    <row r="488" ht="15.75" customHeight="1" spans="9:9">
      <c r="I488" s="4"/>
    </row>
    <row r="489" ht="15.75" customHeight="1" spans="9:9">
      <c r="I489" s="4"/>
    </row>
    <row r="490" ht="15.75" customHeight="1" spans="9:9">
      <c r="I490" s="4"/>
    </row>
    <row r="491" ht="15.75" customHeight="1" spans="9:9">
      <c r="I491" s="4"/>
    </row>
    <row r="492" ht="15.75" customHeight="1" spans="9:9">
      <c r="I492" s="4"/>
    </row>
    <row r="493" ht="15.75" customHeight="1" spans="9:9">
      <c r="I493" s="4"/>
    </row>
    <row r="494" ht="15.75" customHeight="1" spans="9:9">
      <c r="I494" s="4"/>
    </row>
    <row r="495" ht="15.75" customHeight="1" spans="9:9">
      <c r="I495" s="4"/>
    </row>
    <row r="496" ht="15.75" customHeight="1" spans="9:9">
      <c r="I496" s="4"/>
    </row>
    <row r="497" ht="15.75" customHeight="1" spans="9:9">
      <c r="I497" s="4"/>
    </row>
    <row r="498" ht="15.75" customHeight="1" spans="9:9">
      <c r="I498" s="4"/>
    </row>
    <row r="499" ht="15.75" customHeight="1" spans="9:9">
      <c r="I499" s="4"/>
    </row>
    <row r="500" ht="15.75" customHeight="1" spans="9:9">
      <c r="I500" s="4"/>
    </row>
    <row r="501" ht="15.75" customHeight="1" spans="9:9">
      <c r="I501" s="4"/>
    </row>
    <row r="502" ht="15.75" customHeight="1" spans="9:9">
      <c r="I502" s="4"/>
    </row>
    <row r="503" ht="15.75" customHeight="1" spans="9:9">
      <c r="I503" s="4"/>
    </row>
    <row r="504" ht="15.75" customHeight="1" spans="9:9">
      <c r="I504" s="4"/>
    </row>
    <row r="505" ht="15.75" customHeight="1" spans="9:9">
      <c r="I505" s="4"/>
    </row>
    <row r="506" ht="15.75" customHeight="1" spans="9:9">
      <c r="I506" s="4"/>
    </row>
    <row r="507" ht="15.75" customHeight="1" spans="9:9">
      <c r="I507" s="4"/>
    </row>
    <row r="508" ht="15.75" customHeight="1" spans="9:9">
      <c r="I508" s="4"/>
    </row>
    <row r="509" ht="15.75" customHeight="1" spans="9:9">
      <c r="I509" s="4"/>
    </row>
    <row r="510" ht="15.75" customHeight="1" spans="9:9">
      <c r="I510" s="4"/>
    </row>
    <row r="511" ht="15.75" customHeight="1" spans="9:9">
      <c r="I511" s="4"/>
    </row>
    <row r="512" ht="15.75" customHeight="1" spans="9:9">
      <c r="I512" s="4"/>
    </row>
    <row r="513" ht="15.75" customHeight="1" spans="9:9">
      <c r="I513" s="4"/>
    </row>
    <row r="514" ht="15.75" customHeight="1" spans="9:9">
      <c r="I514" s="4"/>
    </row>
    <row r="515" ht="15.75" customHeight="1" spans="9:9">
      <c r="I515" s="4"/>
    </row>
    <row r="516" ht="15.75" customHeight="1" spans="9:9">
      <c r="I516" s="4"/>
    </row>
    <row r="517" ht="15.75" customHeight="1" spans="9:9">
      <c r="I517" s="4"/>
    </row>
    <row r="518" ht="15.75" customHeight="1" spans="9:9">
      <c r="I518" s="4"/>
    </row>
    <row r="519" ht="15.75" customHeight="1" spans="9:9">
      <c r="I519" s="4"/>
    </row>
    <row r="520" ht="15.75" customHeight="1" spans="9:9">
      <c r="I520" s="4"/>
    </row>
    <row r="521" ht="15.75" customHeight="1" spans="9:9">
      <c r="I521" s="4"/>
    </row>
    <row r="522" ht="15.75" customHeight="1" spans="9:9">
      <c r="I522" s="4"/>
    </row>
    <row r="523" ht="15.75" customHeight="1" spans="9:9">
      <c r="I523" s="4"/>
    </row>
    <row r="524" ht="15.75" customHeight="1" spans="9:9">
      <c r="I524" s="4"/>
    </row>
    <row r="525" ht="15.75" customHeight="1" spans="9:9">
      <c r="I525" s="4"/>
    </row>
    <row r="526" ht="15.75" customHeight="1" spans="9:9">
      <c r="I526" s="4"/>
    </row>
    <row r="527" ht="15.75" customHeight="1" spans="9:9">
      <c r="I527" s="4"/>
    </row>
    <row r="528" ht="15.75" customHeight="1" spans="9:9">
      <c r="I528" s="4"/>
    </row>
    <row r="529" ht="15.75" customHeight="1" spans="9:9">
      <c r="I529" s="4"/>
    </row>
    <row r="530" ht="15.75" customHeight="1" spans="9:9">
      <c r="I530" s="4"/>
    </row>
    <row r="531" ht="15.75" customHeight="1" spans="9:9">
      <c r="I531" s="4"/>
    </row>
    <row r="532" ht="15.75" customHeight="1" spans="9:9">
      <c r="I532" s="4"/>
    </row>
    <row r="533" ht="15.75" customHeight="1" spans="9:9">
      <c r="I533" s="4"/>
    </row>
    <row r="534" ht="15.75" customHeight="1" spans="9:9">
      <c r="I534" s="4"/>
    </row>
    <row r="535" ht="15.75" customHeight="1" spans="9:9">
      <c r="I535" s="4"/>
    </row>
    <row r="536" ht="15.75" customHeight="1" spans="9:9">
      <c r="I536" s="4"/>
    </row>
    <row r="537" ht="15.75" customHeight="1" spans="9:9">
      <c r="I537" s="4"/>
    </row>
    <row r="538" ht="15.75" customHeight="1" spans="9:9">
      <c r="I538" s="4"/>
    </row>
    <row r="539" ht="15.75" customHeight="1" spans="9:9">
      <c r="I539" s="4"/>
    </row>
    <row r="540" ht="15.75" customHeight="1" spans="9:9">
      <c r="I540" s="4"/>
    </row>
    <row r="541" ht="15.75" customHeight="1" spans="9:9">
      <c r="I541" s="4"/>
    </row>
    <row r="542" ht="15.75" customHeight="1" spans="9:9">
      <c r="I542" s="4"/>
    </row>
    <row r="543" ht="15.75" customHeight="1" spans="9:9">
      <c r="I543" s="4"/>
    </row>
    <row r="544" ht="15.75" customHeight="1" spans="9:9">
      <c r="I544" s="4"/>
    </row>
    <row r="545" ht="15.75" customHeight="1" spans="9:9">
      <c r="I545" s="4"/>
    </row>
    <row r="546" ht="15.75" customHeight="1" spans="9:9">
      <c r="I546" s="4"/>
    </row>
    <row r="547" ht="15.75" customHeight="1" spans="9:9">
      <c r="I547" s="4"/>
    </row>
    <row r="548" ht="15.75" customHeight="1" spans="9:9">
      <c r="I548" s="4"/>
    </row>
    <row r="549" ht="15.75" customHeight="1" spans="9:9">
      <c r="I549" s="4"/>
    </row>
    <row r="550" ht="15.75" customHeight="1" spans="9:9">
      <c r="I550" s="4"/>
    </row>
    <row r="551" ht="15.75" customHeight="1" spans="9:9">
      <c r="I551" s="4"/>
    </row>
    <row r="552" ht="15.75" customHeight="1" spans="9:9">
      <c r="I552" s="4"/>
    </row>
    <row r="553" ht="15.75" customHeight="1" spans="9:9">
      <c r="I553" s="4"/>
    </row>
    <row r="554" ht="15.75" customHeight="1" spans="9:9">
      <c r="I554" s="4"/>
    </row>
    <row r="555" ht="15.75" customHeight="1" spans="9:9">
      <c r="I555" s="4"/>
    </row>
    <row r="556" ht="15.75" customHeight="1" spans="9:9">
      <c r="I556" s="4"/>
    </row>
    <row r="557" ht="15.75" customHeight="1" spans="9:9">
      <c r="I557" s="4"/>
    </row>
    <row r="558" ht="15.75" customHeight="1" spans="9:9">
      <c r="I558" s="4"/>
    </row>
    <row r="559" ht="15.75" customHeight="1" spans="9:9">
      <c r="I559" s="4"/>
    </row>
    <row r="560" ht="15.75" customHeight="1" spans="9:9">
      <c r="I560" s="4"/>
    </row>
    <row r="561" ht="15.75" customHeight="1" spans="9:9">
      <c r="I561" s="4"/>
    </row>
    <row r="562" ht="15.75" customHeight="1" spans="9:9">
      <c r="I562" s="4"/>
    </row>
    <row r="563" ht="15.75" customHeight="1" spans="9:9">
      <c r="I563" s="4"/>
    </row>
    <row r="564" ht="15.75" customHeight="1" spans="9:9">
      <c r="I564" s="4"/>
    </row>
    <row r="565" ht="15.75" customHeight="1" spans="9:9">
      <c r="I565" s="4"/>
    </row>
    <row r="566" ht="15.75" customHeight="1" spans="9:9">
      <c r="I566" s="4"/>
    </row>
    <row r="567" ht="15.75" customHeight="1" spans="9:9">
      <c r="I567" s="4"/>
    </row>
    <row r="568" ht="15.75" customHeight="1" spans="9:9">
      <c r="I568" s="4"/>
    </row>
    <row r="569" ht="15.75" customHeight="1" spans="9:9">
      <c r="I569" s="4"/>
    </row>
    <row r="570" ht="15.75" customHeight="1" spans="9:9">
      <c r="I570" s="4"/>
    </row>
    <row r="571" ht="15.75" customHeight="1" spans="9:9">
      <c r="I571" s="4"/>
    </row>
    <row r="572" ht="15.75" customHeight="1" spans="9:9">
      <c r="I572" s="4"/>
    </row>
    <row r="573" ht="15.75" customHeight="1" spans="9:9">
      <c r="I573" s="4"/>
    </row>
    <row r="574" ht="15.75" customHeight="1" spans="9:9">
      <c r="I574" s="4"/>
    </row>
    <row r="575" ht="15.75" customHeight="1" spans="9:9">
      <c r="I575" s="4"/>
    </row>
    <row r="576" ht="15.75" customHeight="1" spans="9:9">
      <c r="I576" s="4"/>
    </row>
    <row r="577" ht="15.75" customHeight="1" spans="9:9">
      <c r="I577" s="4"/>
    </row>
    <row r="578" ht="15.75" customHeight="1" spans="9:9">
      <c r="I578" s="4"/>
    </row>
    <row r="579" ht="15.75" customHeight="1" spans="9:9">
      <c r="I579" s="4"/>
    </row>
    <row r="580" ht="15.75" customHeight="1" spans="9:9">
      <c r="I580" s="4"/>
    </row>
    <row r="581" ht="15.75" customHeight="1" spans="9:9">
      <c r="I581" s="4"/>
    </row>
    <row r="582" ht="15.75" customHeight="1" spans="9:9">
      <c r="I582" s="4"/>
    </row>
    <row r="583" ht="15.75" customHeight="1" spans="9:9">
      <c r="I583" s="4"/>
    </row>
    <row r="584" ht="15.75" customHeight="1" spans="9:9">
      <c r="I584" s="4"/>
    </row>
    <row r="585" ht="15.75" customHeight="1" spans="9:9">
      <c r="I585" s="4"/>
    </row>
    <row r="586" ht="15.75" customHeight="1" spans="9:9">
      <c r="I586" s="4"/>
    </row>
    <row r="587" ht="15.75" customHeight="1" spans="9:9">
      <c r="I587" s="4"/>
    </row>
    <row r="588" ht="15.75" customHeight="1" spans="9:9">
      <c r="I588" s="4"/>
    </row>
    <row r="589" ht="15.75" customHeight="1" spans="9:9">
      <c r="I589" s="4"/>
    </row>
    <row r="590" ht="15.75" customHeight="1" spans="9:9">
      <c r="I590" s="4"/>
    </row>
    <row r="591" ht="15.75" customHeight="1" spans="9:9">
      <c r="I591" s="4"/>
    </row>
    <row r="592" ht="15.75" customHeight="1" spans="9:9">
      <c r="I592" s="4"/>
    </row>
    <row r="593" ht="15.75" customHeight="1" spans="9:9">
      <c r="I593" s="4"/>
    </row>
    <row r="594" ht="15.75" customHeight="1" spans="9:9">
      <c r="I594" s="4"/>
    </row>
    <row r="595" ht="15.75" customHeight="1" spans="9:9">
      <c r="I595" s="4"/>
    </row>
    <row r="596" ht="15.75" customHeight="1" spans="9:9">
      <c r="I596" s="4"/>
    </row>
    <row r="597" ht="15.75" customHeight="1" spans="9:9">
      <c r="I597" s="4"/>
    </row>
    <row r="598" ht="15.75" customHeight="1" spans="9:9">
      <c r="I598" s="4"/>
    </row>
    <row r="599" ht="15.75" customHeight="1" spans="9:9">
      <c r="I599" s="4"/>
    </row>
    <row r="600" ht="15.75" customHeight="1" spans="9:9">
      <c r="I600" s="4"/>
    </row>
    <row r="601" ht="15.75" customHeight="1" spans="9:9">
      <c r="I601" s="4"/>
    </row>
    <row r="602" ht="15.75" customHeight="1" spans="9:9">
      <c r="I602" s="4"/>
    </row>
    <row r="603" ht="15.75" customHeight="1" spans="9:9">
      <c r="I603" s="4"/>
    </row>
    <row r="604" ht="15.75" customHeight="1" spans="9:9">
      <c r="I604" s="4"/>
    </row>
    <row r="605" ht="15.75" customHeight="1" spans="9:9">
      <c r="I605" s="4"/>
    </row>
    <row r="606" ht="15.75" customHeight="1" spans="9:9">
      <c r="I606" s="4"/>
    </row>
    <row r="607" ht="15.75" customHeight="1" spans="9:9">
      <c r="I607" s="4"/>
    </row>
    <row r="608" ht="15.75" customHeight="1" spans="9:9">
      <c r="I608" s="4"/>
    </row>
    <row r="609" ht="15.75" customHeight="1" spans="9:9">
      <c r="I609" s="4"/>
    </row>
    <row r="610" ht="15.75" customHeight="1" spans="9:9">
      <c r="I610" s="4"/>
    </row>
    <row r="611" ht="15.75" customHeight="1" spans="9:9">
      <c r="I611" s="4"/>
    </row>
    <row r="612" ht="15.75" customHeight="1" spans="9:9">
      <c r="I612" s="4"/>
    </row>
    <row r="613" ht="15.75" customHeight="1" spans="9:9">
      <c r="I613" s="4"/>
    </row>
    <row r="614" ht="15.75" customHeight="1" spans="9:9">
      <c r="I614" s="4"/>
    </row>
    <row r="615" ht="15.75" customHeight="1" spans="9:9">
      <c r="I615" s="4"/>
    </row>
    <row r="616" ht="15.75" customHeight="1" spans="9:9">
      <c r="I616" s="4"/>
    </row>
    <row r="617" ht="15.75" customHeight="1" spans="9:9">
      <c r="I617" s="4"/>
    </row>
    <row r="618" ht="15.75" customHeight="1" spans="9:9">
      <c r="I618" s="4"/>
    </row>
    <row r="619" ht="15.75" customHeight="1" spans="9:9">
      <c r="I619" s="4"/>
    </row>
    <row r="620" ht="15.75" customHeight="1" spans="9:9">
      <c r="I620" s="4"/>
    </row>
    <row r="621" ht="15.75" customHeight="1" spans="9:9">
      <c r="I621" s="4"/>
    </row>
    <row r="622" ht="15.75" customHeight="1" spans="9:9">
      <c r="I622" s="4"/>
    </row>
    <row r="623" ht="15.75" customHeight="1" spans="9:9">
      <c r="I623" s="4"/>
    </row>
    <row r="624" ht="15.75" customHeight="1" spans="9:9">
      <c r="I624" s="4"/>
    </row>
    <row r="625" ht="15.75" customHeight="1" spans="9:9">
      <c r="I625" s="4"/>
    </row>
    <row r="626" ht="15.75" customHeight="1" spans="9:9">
      <c r="I626" s="4"/>
    </row>
    <row r="627" ht="15.75" customHeight="1" spans="9:9">
      <c r="I627" s="4"/>
    </row>
    <row r="628" ht="15.75" customHeight="1" spans="9:9">
      <c r="I628" s="4"/>
    </row>
    <row r="629" ht="15.75" customHeight="1" spans="9:9">
      <c r="I629" s="4"/>
    </row>
    <row r="630" ht="15.75" customHeight="1" spans="9:9">
      <c r="I630" s="4"/>
    </row>
    <row r="631" ht="15.75" customHeight="1" spans="9:9">
      <c r="I631" s="4"/>
    </row>
    <row r="632" ht="15.75" customHeight="1" spans="9:9">
      <c r="I632" s="4"/>
    </row>
    <row r="633" ht="15.75" customHeight="1" spans="9:9">
      <c r="I633" s="4"/>
    </row>
    <row r="634" ht="15.75" customHeight="1" spans="9:9">
      <c r="I634" s="4"/>
    </row>
    <row r="635" ht="15.75" customHeight="1" spans="9:9">
      <c r="I635" s="4"/>
    </row>
    <row r="636" ht="15.75" customHeight="1" spans="9:9">
      <c r="I636" s="4"/>
    </row>
    <row r="637" ht="15.75" customHeight="1" spans="9:9">
      <c r="I637" s="4"/>
    </row>
    <row r="638" ht="15.75" customHeight="1" spans="9:9">
      <c r="I638" s="4"/>
    </row>
    <row r="639" ht="15.75" customHeight="1" spans="9:9">
      <c r="I639" s="4"/>
    </row>
    <row r="640" ht="15.75" customHeight="1" spans="9:9">
      <c r="I640" s="4"/>
    </row>
    <row r="641" ht="15.75" customHeight="1" spans="9:9">
      <c r="I641" s="4"/>
    </row>
    <row r="642" ht="15.75" customHeight="1" spans="9:9">
      <c r="I642" s="4"/>
    </row>
    <row r="643" ht="15.75" customHeight="1" spans="9:9">
      <c r="I643" s="4"/>
    </row>
    <row r="644" ht="15.75" customHeight="1" spans="9:9">
      <c r="I644" s="4"/>
    </row>
    <row r="645" ht="15.75" customHeight="1" spans="9:9">
      <c r="I645" s="4"/>
    </row>
    <row r="646" ht="15.75" customHeight="1" spans="9:9">
      <c r="I646" s="4"/>
    </row>
    <row r="647" ht="15.75" customHeight="1" spans="9:9">
      <c r="I647" s="4"/>
    </row>
    <row r="648" ht="15.75" customHeight="1" spans="9:9">
      <c r="I648" s="4"/>
    </row>
    <row r="649" ht="15.75" customHeight="1" spans="9:9">
      <c r="I649" s="4"/>
    </row>
    <row r="650" ht="15.75" customHeight="1" spans="9:9">
      <c r="I650" s="4"/>
    </row>
    <row r="651" ht="15.75" customHeight="1" spans="9:9">
      <c r="I651" s="4"/>
    </row>
    <row r="652" ht="15.75" customHeight="1" spans="9:9">
      <c r="I652" s="4"/>
    </row>
    <row r="653" ht="15.75" customHeight="1" spans="9:9">
      <c r="I653" s="4"/>
    </row>
    <row r="654" ht="15.75" customHeight="1" spans="9:9">
      <c r="I654" s="4"/>
    </row>
    <row r="655" ht="15.75" customHeight="1" spans="9:9">
      <c r="I655" s="4"/>
    </row>
    <row r="656" ht="15.75" customHeight="1" spans="9:9">
      <c r="I656" s="4"/>
    </row>
    <row r="657" ht="15.75" customHeight="1" spans="9:9">
      <c r="I657" s="4"/>
    </row>
    <row r="658" ht="15.75" customHeight="1" spans="9:9">
      <c r="I658" s="4"/>
    </row>
    <row r="659" ht="15.75" customHeight="1" spans="9:9">
      <c r="I659" s="4"/>
    </row>
    <row r="660" ht="15.75" customHeight="1" spans="9:9">
      <c r="I660" s="4"/>
    </row>
    <row r="661" ht="15.75" customHeight="1" spans="9:9">
      <c r="I661" s="4"/>
    </row>
    <row r="662" ht="15.75" customHeight="1" spans="9:9">
      <c r="I662" s="4"/>
    </row>
    <row r="663" ht="15.75" customHeight="1" spans="9:9">
      <c r="I663" s="4"/>
    </row>
    <row r="664" ht="15.75" customHeight="1" spans="9:9">
      <c r="I664" s="4"/>
    </row>
    <row r="665" ht="15.75" customHeight="1" spans="9:9">
      <c r="I665" s="4"/>
    </row>
    <row r="666" ht="15.75" customHeight="1" spans="9:9">
      <c r="I666" s="4"/>
    </row>
    <row r="667" ht="15.75" customHeight="1" spans="9:9">
      <c r="I667" s="4"/>
    </row>
    <row r="668" ht="15.75" customHeight="1" spans="9:9">
      <c r="I668" s="4"/>
    </row>
    <row r="669" ht="15.75" customHeight="1" spans="9:9">
      <c r="I669" s="4"/>
    </row>
    <row r="670" ht="15.75" customHeight="1" spans="9:9">
      <c r="I670" s="4"/>
    </row>
    <row r="671" ht="15.75" customHeight="1" spans="9:9">
      <c r="I671" s="4"/>
    </row>
    <row r="672" ht="15.75" customHeight="1" spans="9:9">
      <c r="I672" s="4"/>
    </row>
    <row r="673" ht="15.75" customHeight="1" spans="9:9">
      <c r="I673" s="4"/>
    </row>
    <row r="674" ht="15.75" customHeight="1" spans="9:9">
      <c r="I674" s="4"/>
    </row>
    <row r="675" ht="15.75" customHeight="1" spans="9:9">
      <c r="I675" s="4"/>
    </row>
    <row r="676" ht="15.75" customHeight="1" spans="9:9">
      <c r="I676" s="4"/>
    </row>
    <row r="677" ht="15.75" customHeight="1" spans="9:9">
      <c r="I677" s="4"/>
    </row>
    <row r="678" ht="15.75" customHeight="1" spans="9:9">
      <c r="I678" s="4"/>
    </row>
    <row r="679" ht="15.75" customHeight="1" spans="9:9">
      <c r="I679" s="4"/>
    </row>
    <row r="680" ht="15.75" customHeight="1" spans="9:9">
      <c r="I680" s="4"/>
    </row>
    <row r="681" ht="15.75" customHeight="1" spans="9:9">
      <c r="I681" s="4"/>
    </row>
    <row r="682" ht="15.75" customHeight="1" spans="9:9">
      <c r="I682" s="4"/>
    </row>
    <row r="683" ht="15.75" customHeight="1" spans="9:9">
      <c r="I683" s="4"/>
    </row>
    <row r="684" ht="15.75" customHeight="1" spans="9:9">
      <c r="I684" s="4"/>
    </row>
    <row r="685" ht="15.75" customHeight="1" spans="9:9">
      <c r="I685" s="4"/>
    </row>
    <row r="686" ht="15.75" customHeight="1" spans="9:9">
      <c r="I686" s="4"/>
    </row>
    <row r="687" ht="15.75" customHeight="1" spans="9:9">
      <c r="I687" s="4"/>
    </row>
    <row r="688" ht="15.75" customHeight="1" spans="9:9">
      <c r="I688" s="4"/>
    </row>
    <row r="689" ht="15.75" customHeight="1" spans="9:9">
      <c r="I689" s="4"/>
    </row>
    <row r="690" ht="15.75" customHeight="1" spans="9:9">
      <c r="I690" s="4"/>
    </row>
    <row r="691" ht="15.75" customHeight="1" spans="9:9">
      <c r="I691" s="4"/>
    </row>
    <row r="692" ht="15.75" customHeight="1" spans="9:9">
      <c r="I692" s="4"/>
    </row>
    <row r="693" ht="15.75" customHeight="1" spans="9:9">
      <c r="I693" s="4"/>
    </row>
    <row r="694" ht="15.75" customHeight="1" spans="9:9">
      <c r="I694" s="4"/>
    </row>
    <row r="695" ht="15.75" customHeight="1" spans="9:9">
      <c r="I695" s="4"/>
    </row>
    <row r="696" ht="15.75" customHeight="1" spans="9:9">
      <c r="I696" s="4"/>
    </row>
    <row r="697" ht="15.75" customHeight="1" spans="9:9">
      <c r="I697" s="4"/>
    </row>
    <row r="698" ht="15.75" customHeight="1" spans="9:9">
      <c r="I698" s="4"/>
    </row>
    <row r="699" ht="15.75" customHeight="1" spans="9:9">
      <c r="I699" s="4"/>
    </row>
    <row r="700" ht="15.75" customHeight="1" spans="9:9">
      <c r="I700" s="4"/>
    </row>
    <row r="701" ht="15.75" customHeight="1" spans="9:9">
      <c r="I701" s="4"/>
    </row>
    <row r="702" ht="15.75" customHeight="1" spans="9:9">
      <c r="I702" s="4"/>
    </row>
    <row r="703" ht="15.75" customHeight="1" spans="9:9">
      <c r="I703" s="4"/>
    </row>
    <row r="704" ht="15.75" customHeight="1" spans="9:9">
      <c r="I704" s="4"/>
    </row>
    <row r="705" ht="15.75" customHeight="1" spans="9:9">
      <c r="I705" s="4"/>
    </row>
    <row r="706" ht="15.75" customHeight="1" spans="9:9">
      <c r="I706" s="4"/>
    </row>
    <row r="707" ht="15.75" customHeight="1" spans="9:9">
      <c r="I707" s="4"/>
    </row>
    <row r="708" ht="15.75" customHeight="1" spans="9:9">
      <c r="I708" s="4"/>
    </row>
    <row r="709" ht="15.75" customHeight="1" spans="9:9">
      <c r="I709" s="4"/>
    </row>
    <row r="710" ht="15.75" customHeight="1" spans="9:9">
      <c r="I710" s="4"/>
    </row>
    <row r="711" ht="15.75" customHeight="1" spans="9:9">
      <c r="I711" s="4"/>
    </row>
    <row r="712" ht="15.75" customHeight="1" spans="9:9">
      <c r="I712" s="4"/>
    </row>
    <row r="713" ht="15.75" customHeight="1" spans="9:9">
      <c r="I713" s="4"/>
    </row>
    <row r="714" ht="15.75" customHeight="1" spans="9:9">
      <c r="I714" s="4"/>
    </row>
    <row r="715" ht="15.75" customHeight="1" spans="9:9">
      <c r="I715" s="4"/>
    </row>
    <row r="716" ht="15.75" customHeight="1" spans="9:9">
      <c r="I716" s="4"/>
    </row>
    <row r="717" ht="15.75" customHeight="1" spans="9:9">
      <c r="I717" s="4"/>
    </row>
    <row r="718" ht="15.75" customHeight="1" spans="9:9">
      <c r="I718" s="4"/>
    </row>
    <row r="719" ht="15.75" customHeight="1" spans="9:9">
      <c r="I719" s="4"/>
    </row>
    <row r="720" ht="15.75" customHeight="1" spans="9:9">
      <c r="I720" s="4"/>
    </row>
    <row r="721" ht="15.75" customHeight="1" spans="9:9">
      <c r="I721" s="4"/>
    </row>
    <row r="722" ht="15.75" customHeight="1" spans="9:9">
      <c r="I722" s="4"/>
    </row>
    <row r="723" ht="15.75" customHeight="1" spans="9:9">
      <c r="I723" s="4"/>
    </row>
    <row r="724" ht="15.75" customHeight="1" spans="9:9">
      <c r="I724" s="4"/>
    </row>
    <row r="725" ht="15.75" customHeight="1" spans="9:9">
      <c r="I725" s="4"/>
    </row>
    <row r="726" ht="15.75" customHeight="1" spans="9:9">
      <c r="I726" s="4"/>
    </row>
    <row r="727" ht="15.75" customHeight="1" spans="9:9">
      <c r="I727" s="4"/>
    </row>
    <row r="728" ht="15.75" customHeight="1" spans="9:9">
      <c r="I728" s="4"/>
    </row>
    <row r="729" ht="15.75" customHeight="1" spans="9:9">
      <c r="I729" s="4"/>
    </row>
    <row r="730" ht="15.75" customHeight="1" spans="9:9">
      <c r="I730" s="4"/>
    </row>
    <row r="731" ht="15.75" customHeight="1" spans="9:9">
      <c r="I731" s="4"/>
    </row>
    <row r="732" ht="15.75" customHeight="1" spans="9:9">
      <c r="I732" s="4"/>
    </row>
    <row r="733" ht="15.75" customHeight="1" spans="9:9">
      <c r="I733" s="4"/>
    </row>
    <row r="734" ht="15.75" customHeight="1" spans="9:9">
      <c r="I734" s="4"/>
    </row>
    <row r="735" ht="15.75" customHeight="1" spans="9:9">
      <c r="I735" s="4"/>
    </row>
    <row r="736" ht="15.75" customHeight="1" spans="9:9">
      <c r="I736" s="4"/>
    </row>
    <row r="737" ht="15.75" customHeight="1" spans="9:9">
      <c r="I737" s="4"/>
    </row>
    <row r="738" ht="15.75" customHeight="1" spans="9:9">
      <c r="I738" s="4"/>
    </row>
    <row r="739" ht="15.75" customHeight="1" spans="9:9">
      <c r="I739" s="4"/>
    </row>
    <row r="740" ht="15.75" customHeight="1" spans="9:9">
      <c r="I740" s="4"/>
    </row>
    <row r="741" ht="15.75" customHeight="1" spans="9:9">
      <c r="I741" s="4"/>
    </row>
    <row r="742" ht="15.75" customHeight="1" spans="9:9">
      <c r="I742" s="4"/>
    </row>
    <row r="743" ht="15.75" customHeight="1" spans="9:9">
      <c r="I743" s="4"/>
    </row>
    <row r="744" ht="15.75" customHeight="1" spans="9:9">
      <c r="I744" s="4"/>
    </row>
    <row r="745" ht="15.75" customHeight="1" spans="9:9">
      <c r="I745" s="4"/>
    </row>
    <row r="746" ht="15.75" customHeight="1" spans="9:9">
      <c r="I746" s="4"/>
    </row>
    <row r="747" ht="15.75" customHeight="1" spans="9:9">
      <c r="I747" s="4"/>
    </row>
    <row r="748" ht="15.75" customHeight="1" spans="9:9">
      <c r="I748" s="4"/>
    </row>
    <row r="749" ht="15.75" customHeight="1" spans="9:9">
      <c r="I749" s="4"/>
    </row>
    <row r="750" ht="15.75" customHeight="1" spans="9:9">
      <c r="I750" s="4"/>
    </row>
    <row r="751" ht="15.75" customHeight="1" spans="9:9">
      <c r="I751" s="4"/>
    </row>
    <row r="752" ht="15.75" customHeight="1" spans="9:9">
      <c r="I752" s="4"/>
    </row>
    <row r="753" ht="15.75" customHeight="1" spans="9:9">
      <c r="I753" s="4"/>
    </row>
    <row r="754" ht="15.75" customHeight="1" spans="9:9">
      <c r="I754" s="4"/>
    </row>
    <row r="755" ht="15.75" customHeight="1" spans="9:9">
      <c r="I755" s="4"/>
    </row>
    <row r="756" ht="15.75" customHeight="1" spans="9:9">
      <c r="I756" s="4"/>
    </row>
    <row r="757" ht="15.75" customHeight="1" spans="9:9">
      <c r="I757" s="4"/>
    </row>
    <row r="758" ht="15.75" customHeight="1" spans="9:9">
      <c r="I758" s="4"/>
    </row>
    <row r="759" ht="15.75" customHeight="1" spans="9:9">
      <c r="I759" s="4"/>
    </row>
    <row r="760" ht="15.75" customHeight="1" spans="9:9">
      <c r="I760" s="4"/>
    </row>
    <row r="761" ht="15.75" customHeight="1" spans="9:9">
      <c r="I761" s="4"/>
    </row>
    <row r="762" ht="15.75" customHeight="1" spans="9:9">
      <c r="I762" s="4"/>
    </row>
    <row r="763" ht="15.75" customHeight="1" spans="9:9">
      <c r="I763" s="4"/>
    </row>
    <row r="764" ht="15.75" customHeight="1" spans="9:9">
      <c r="I764" s="4"/>
    </row>
    <row r="765" ht="15.75" customHeight="1" spans="9:9">
      <c r="I765" s="4"/>
    </row>
    <row r="766" ht="15.75" customHeight="1" spans="9:9">
      <c r="I766" s="4"/>
    </row>
    <row r="767" ht="15.75" customHeight="1" spans="9:9">
      <c r="I767" s="4"/>
    </row>
    <row r="768" ht="15.75" customHeight="1" spans="9:9">
      <c r="I768" s="4"/>
    </row>
    <row r="769" ht="15.75" customHeight="1" spans="9:9">
      <c r="I769" s="4"/>
    </row>
    <row r="770" ht="15.75" customHeight="1" spans="9:9">
      <c r="I770" s="4"/>
    </row>
    <row r="771" ht="15.75" customHeight="1" spans="9:9">
      <c r="I771" s="4"/>
    </row>
    <row r="772" ht="15.75" customHeight="1" spans="9:9">
      <c r="I772" s="4"/>
    </row>
    <row r="773" ht="15.75" customHeight="1" spans="9:9">
      <c r="I773" s="4"/>
    </row>
    <row r="774" ht="15.75" customHeight="1" spans="9:9">
      <c r="I774" s="4"/>
    </row>
    <row r="775" ht="15.75" customHeight="1" spans="9:9">
      <c r="I775" s="4"/>
    </row>
    <row r="776" ht="15.75" customHeight="1" spans="9:9">
      <c r="I776" s="4"/>
    </row>
    <row r="777" ht="15.75" customHeight="1" spans="9:9">
      <c r="I777" s="4"/>
    </row>
    <row r="778" ht="15.75" customHeight="1" spans="9:9">
      <c r="I778" s="4"/>
    </row>
    <row r="779" ht="15.75" customHeight="1" spans="9:9">
      <c r="I779" s="4"/>
    </row>
    <row r="780" ht="15.75" customHeight="1" spans="9:9">
      <c r="I780" s="4"/>
    </row>
    <row r="781" ht="15.75" customHeight="1" spans="9:9">
      <c r="I781" s="4"/>
    </row>
    <row r="782" ht="15.75" customHeight="1" spans="9:9">
      <c r="I782" s="4"/>
    </row>
    <row r="783" ht="15.75" customHeight="1" spans="9:9">
      <c r="I783" s="4"/>
    </row>
    <row r="784" ht="15.75" customHeight="1" spans="9:9">
      <c r="I784" s="4"/>
    </row>
    <row r="785" ht="15.75" customHeight="1" spans="9:9">
      <c r="I785" s="4"/>
    </row>
    <row r="786" ht="15.75" customHeight="1" spans="9:9">
      <c r="I786" s="4"/>
    </row>
    <row r="787" ht="15.75" customHeight="1" spans="9:9">
      <c r="I787" s="4"/>
    </row>
    <row r="788" ht="15.75" customHeight="1" spans="9:9">
      <c r="I788" s="4"/>
    </row>
    <row r="789" ht="15.75" customHeight="1" spans="9:9">
      <c r="I789" s="4"/>
    </row>
    <row r="790" ht="15.75" customHeight="1" spans="9:9">
      <c r="I790" s="4"/>
    </row>
    <row r="791" ht="15.75" customHeight="1" spans="9:9">
      <c r="I791" s="4"/>
    </row>
    <row r="792" ht="15.75" customHeight="1" spans="9:9">
      <c r="I792" s="4"/>
    </row>
    <row r="793" ht="15.75" customHeight="1" spans="9:9">
      <c r="I793" s="4"/>
    </row>
    <row r="794" ht="15.75" customHeight="1" spans="9:9">
      <c r="I794" s="4"/>
    </row>
    <row r="795" ht="15.75" customHeight="1" spans="9:9">
      <c r="I795" s="4"/>
    </row>
    <row r="796" ht="15.75" customHeight="1" spans="9:9">
      <c r="I796" s="4"/>
    </row>
    <row r="797" ht="15.75" customHeight="1" spans="9:9">
      <c r="I797" s="4"/>
    </row>
    <row r="798" ht="15.75" customHeight="1" spans="9:9">
      <c r="I798" s="4"/>
    </row>
    <row r="799" ht="15.75" customHeight="1" spans="9:9">
      <c r="I799" s="4"/>
    </row>
    <row r="800" ht="15.75" customHeight="1" spans="9:9">
      <c r="I800" s="4"/>
    </row>
    <row r="801" ht="15.75" customHeight="1" spans="9:9">
      <c r="I801" s="4"/>
    </row>
    <row r="802" ht="15.75" customHeight="1" spans="9:9">
      <c r="I802" s="4"/>
    </row>
    <row r="803" ht="15.75" customHeight="1" spans="9:9">
      <c r="I803" s="4"/>
    </row>
    <row r="804" ht="15.75" customHeight="1" spans="9:9">
      <c r="I804" s="4"/>
    </row>
    <row r="805" ht="15.75" customHeight="1" spans="9:9">
      <c r="I805" s="4"/>
    </row>
    <row r="806" ht="15.75" customHeight="1" spans="9:9">
      <c r="I806" s="4"/>
    </row>
    <row r="807" ht="15.75" customHeight="1" spans="9:9">
      <c r="I807" s="4"/>
    </row>
    <row r="808" ht="15.75" customHeight="1" spans="9:9">
      <c r="I808" s="4"/>
    </row>
    <row r="809" ht="15.75" customHeight="1" spans="9:9">
      <c r="I809" s="4"/>
    </row>
    <row r="810" ht="15.75" customHeight="1" spans="9:9">
      <c r="I810" s="4"/>
    </row>
    <row r="811" ht="15.75" customHeight="1" spans="9:9">
      <c r="I811" s="4"/>
    </row>
    <row r="812" ht="15.75" customHeight="1" spans="9:9">
      <c r="I812" s="4"/>
    </row>
    <row r="813" ht="15.75" customHeight="1" spans="9:9">
      <c r="I813" s="4"/>
    </row>
    <row r="814" ht="15.75" customHeight="1" spans="9:9">
      <c r="I814" s="4"/>
    </row>
    <row r="815" ht="15.75" customHeight="1" spans="9:9">
      <c r="I815" s="4"/>
    </row>
    <row r="816" ht="15.75" customHeight="1" spans="9:9">
      <c r="I816" s="4"/>
    </row>
    <row r="817" ht="15.75" customHeight="1" spans="9:9">
      <c r="I817" s="4"/>
    </row>
    <row r="818" ht="15.75" customHeight="1" spans="9:9">
      <c r="I818" s="4"/>
    </row>
    <row r="819" ht="15.75" customHeight="1" spans="9:9">
      <c r="I819" s="4"/>
    </row>
    <row r="820" ht="15.75" customHeight="1" spans="9:9">
      <c r="I820" s="4"/>
    </row>
    <row r="821" ht="15.75" customHeight="1" spans="9:9">
      <c r="I821" s="4"/>
    </row>
    <row r="822" ht="15.75" customHeight="1" spans="9:9">
      <c r="I822" s="4"/>
    </row>
    <row r="823" ht="15.75" customHeight="1" spans="9:9">
      <c r="I823" s="4"/>
    </row>
    <row r="824" ht="15.75" customHeight="1" spans="9:9">
      <c r="I824" s="4"/>
    </row>
    <row r="825" ht="15.75" customHeight="1" spans="9:9">
      <c r="I825" s="4"/>
    </row>
    <row r="826" ht="15.75" customHeight="1" spans="9:9">
      <c r="I826" s="4"/>
    </row>
    <row r="827" ht="15.75" customHeight="1" spans="9:9">
      <c r="I827" s="4"/>
    </row>
    <row r="828" ht="15.75" customHeight="1" spans="9:9">
      <c r="I828" s="4"/>
    </row>
    <row r="829" ht="15.75" customHeight="1" spans="9:9">
      <c r="I829" s="4"/>
    </row>
    <row r="830" ht="15.75" customHeight="1" spans="9:9">
      <c r="I830" s="4"/>
    </row>
    <row r="831" ht="15.75" customHeight="1" spans="9:9">
      <c r="I831" s="4"/>
    </row>
    <row r="832" ht="15.75" customHeight="1" spans="9:9">
      <c r="I832" s="4"/>
    </row>
    <row r="833" ht="15.75" customHeight="1" spans="9:9">
      <c r="I833" s="4"/>
    </row>
    <row r="834" ht="15.75" customHeight="1" spans="9:9">
      <c r="I834" s="4"/>
    </row>
    <row r="835" ht="15.75" customHeight="1" spans="9:9">
      <c r="I835" s="4"/>
    </row>
    <row r="836" ht="15.75" customHeight="1" spans="9:9">
      <c r="I836" s="4"/>
    </row>
    <row r="837" ht="15.75" customHeight="1" spans="9:9">
      <c r="I837" s="4"/>
    </row>
    <row r="838" ht="15.75" customHeight="1" spans="9:9">
      <c r="I838" s="4"/>
    </row>
    <row r="839" ht="15.75" customHeight="1" spans="9:9">
      <c r="I839" s="4"/>
    </row>
    <row r="840" ht="15.75" customHeight="1" spans="9:9">
      <c r="I840" s="4"/>
    </row>
    <row r="841" ht="15.75" customHeight="1" spans="9:9">
      <c r="I841" s="4"/>
    </row>
    <row r="842" ht="15.75" customHeight="1" spans="9:9">
      <c r="I842" s="4"/>
    </row>
    <row r="843" ht="15.75" customHeight="1" spans="9:9">
      <c r="I843" s="4"/>
    </row>
    <row r="844" ht="15.75" customHeight="1" spans="9:9">
      <c r="I844" s="4"/>
    </row>
    <row r="845" ht="15.75" customHeight="1" spans="9:9">
      <c r="I845" s="4"/>
    </row>
    <row r="846" ht="15.75" customHeight="1" spans="9:9">
      <c r="I846" s="4"/>
    </row>
    <row r="847" ht="15.75" customHeight="1" spans="9:9">
      <c r="I847" s="4"/>
    </row>
    <row r="848" ht="15.75" customHeight="1" spans="9:9">
      <c r="I848" s="4"/>
    </row>
    <row r="849" ht="15.75" customHeight="1" spans="9:9">
      <c r="I849" s="4"/>
    </row>
    <row r="850" ht="15.75" customHeight="1" spans="9:9">
      <c r="I850" s="4"/>
    </row>
    <row r="851" ht="15.75" customHeight="1" spans="9:9">
      <c r="I851" s="4"/>
    </row>
    <row r="852" ht="15.75" customHeight="1" spans="9:9">
      <c r="I852" s="4"/>
    </row>
    <row r="853" ht="15.75" customHeight="1" spans="9:9">
      <c r="I853" s="4"/>
    </row>
    <row r="854" ht="15.75" customHeight="1" spans="9:9">
      <c r="I854" s="4"/>
    </row>
    <row r="855" ht="15.75" customHeight="1" spans="9:9">
      <c r="I855" s="4"/>
    </row>
    <row r="856" ht="15.75" customHeight="1" spans="9:9">
      <c r="I856" s="4"/>
    </row>
    <row r="857" ht="15.75" customHeight="1" spans="9:9">
      <c r="I857" s="4"/>
    </row>
    <row r="858" ht="15.75" customHeight="1" spans="9:9">
      <c r="I858" s="4"/>
    </row>
    <row r="859" ht="15.75" customHeight="1" spans="9:9">
      <c r="I859" s="4"/>
    </row>
    <row r="860" ht="15.75" customHeight="1" spans="9:9">
      <c r="I860" s="4"/>
    </row>
    <row r="861" ht="15.75" customHeight="1" spans="9:9">
      <c r="I861" s="4"/>
    </row>
    <row r="862" ht="15.75" customHeight="1" spans="9:9">
      <c r="I862" s="4"/>
    </row>
    <row r="863" ht="15.75" customHeight="1" spans="9:9">
      <c r="I863" s="4"/>
    </row>
    <row r="864" ht="15.75" customHeight="1" spans="9:9">
      <c r="I864" s="4"/>
    </row>
    <row r="865" ht="15.75" customHeight="1" spans="9:9">
      <c r="I865" s="4"/>
    </row>
    <row r="866" ht="15.75" customHeight="1" spans="9:9">
      <c r="I866" s="4"/>
    </row>
    <row r="867" ht="15.75" customHeight="1" spans="9:9">
      <c r="I867" s="4"/>
    </row>
    <row r="868" ht="15.75" customHeight="1" spans="9:9">
      <c r="I868" s="4"/>
    </row>
    <row r="869" ht="15.75" customHeight="1" spans="9:9">
      <c r="I869" s="4"/>
    </row>
    <row r="870" ht="15.75" customHeight="1" spans="9:9">
      <c r="I870" s="4"/>
    </row>
    <row r="871" ht="15.75" customHeight="1" spans="9:9">
      <c r="I871" s="4"/>
    </row>
    <row r="872" ht="15.75" customHeight="1" spans="9:9">
      <c r="I872" s="4"/>
    </row>
    <row r="873" ht="15.75" customHeight="1" spans="9:9">
      <c r="I873" s="4"/>
    </row>
    <row r="874" ht="15.75" customHeight="1" spans="9:9">
      <c r="I874" s="4"/>
    </row>
    <row r="875" ht="15.75" customHeight="1" spans="9:9">
      <c r="I875" s="4"/>
    </row>
    <row r="876" ht="15.75" customHeight="1" spans="9:9">
      <c r="I876" s="4"/>
    </row>
    <row r="877" ht="15.75" customHeight="1" spans="9:9">
      <c r="I877" s="4"/>
    </row>
    <row r="878" ht="15.75" customHeight="1" spans="9:9">
      <c r="I878" s="4"/>
    </row>
    <row r="879" ht="15.75" customHeight="1" spans="9:9">
      <c r="I879" s="4"/>
    </row>
    <row r="880" ht="15.75" customHeight="1" spans="9:9">
      <c r="I880" s="4"/>
    </row>
    <row r="881" ht="15.75" customHeight="1" spans="9:9">
      <c r="I881" s="4"/>
    </row>
    <row r="882" ht="15.75" customHeight="1" spans="9:9">
      <c r="I882" s="4"/>
    </row>
    <row r="883" ht="15.75" customHeight="1" spans="9:9">
      <c r="I883" s="4"/>
    </row>
    <row r="884" ht="15.75" customHeight="1" spans="9:9">
      <c r="I884" s="4"/>
    </row>
    <row r="885" ht="15.75" customHeight="1" spans="9:9">
      <c r="I885" s="4"/>
    </row>
    <row r="886" ht="15.75" customHeight="1" spans="9:9">
      <c r="I886" s="4"/>
    </row>
    <row r="887" ht="15.75" customHeight="1" spans="9:9">
      <c r="I887" s="4"/>
    </row>
    <row r="888" ht="15.75" customHeight="1" spans="9:9">
      <c r="I888" s="4"/>
    </row>
    <row r="889" ht="15.75" customHeight="1" spans="9:9">
      <c r="I889" s="4"/>
    </row>
    <row r="890" ht="15.75" customHeight="1" spans="9:9">
      <c r="I890" s="4"/>
    </row>
    <row r="891" ht="15.75" customHeight="1" spans="9:9">
      <c r="I891" s="4"/>
    </row>
    <row r="892" ht="15.75" customHeight="1" spans="9:9">
      <c r="I892" s="4"/>
    </row>
    <row r="893" ht="15.75" customHeight="1" spans="9:9">
      <c r="I893" s="4"/>
    </row>
    <row r="894" ht="15.75" customHeight="1" spans="9:9">
      <c r="I894" s="4"/>
    </row>
    <row r="895" ht="15.75" customHeight="1" spans="9:9">
      <c r="I895" s="4"/>
    </row>
    <row r="896" ht="15.75" customHeight="1" spans="9:9">
      <c r="I896" s="4"/>
    </row>
    <row r="897" ht="15.75" customHeight="1" spans="9:9">
      <c r="I897" s="4"/>
    </row>
    <row r="898" ht="15.75" customHeight="1" spans="9:9">
      <c r="I898" s="4"/>
    </row>
    <row r="899" ht="15.75" customHeight="1" spans="9:9">
      <c r="I899" s="4"/>
    </row>
    <row r="900" ht="15.75" customHeight="1" spans="9:9">
      <c r="I900" s="4"/>
    </row>
    <row r="901" ht="15.75" customHeight="1" spans="9:9">
      <c r="I901" s="4"/>
    </row>
    <row r="902" ht="15.75" customHeight="1" spans="9:9">
      <c r="I902" s="4"/>
    </row>
    <row r="903" ht="15.75" customHeight="1" spans="9:9">
      <c r="I903" s="4"/>
    </row>
    <row r="904" ht="15.75" customHeight="1" spans="9:9">
      <c r="I904" s="4"/>
    </row>
    <row r="905" ht="15.75" customHeight="1" spans="9:9">
      <c r="I905" s="4"/>
    </row>
    <row r="906" ht="15.75" customHeight="1" spans="9:9">
      <c r="I906" s="4"/>
    </row>
    <row r="907" ht="15.75" customHeight="1" spans="9:9">
      <c r="I907" s="4"/>
    </row>
    <row r="908" ht="15.75" customHeight="1" spans="9:9">
      <c r="I908" s="4"/>
    </row>
    <row r="909" ht="15.75" customHeight="1" spans="9:9">
      <c r="I909" s="4"/>
    </row>
    <row r="910" ht="15.75" customHeight="1" spans="9:9">
      <c r="I910" s="4"/>
    </row>
    <row r="911" ht="15.75" customHeight="1" spans="9:9">
      <c r="I911" s="4"/>
    </row>
    <row r="912" ht="15.75" customHeight="1" spans="9:9">
      <c r="I912" s="4"/>
    </row>
    <row r="913" ht="15.75" customHeight="1" spans="9:9">
      <c r="I913" s="4"/>
    </row>
    <row r="914" ht="15.75" customHeight="1" spans="9:9">
      <c r="I914" s="4"/>
    </row>
    <row r="915" ht="15.75" customHeight="1" spans="9:9">
      <c r="I915" s="4"/>
    </row>
    <row r="916" ht="15.75" customHeight="1" spans="9:9">
      <c r="I916" s="4"/>
    </row>
    <row r="917" ht="15.75" customHeight="1" spans="9:9">
      <c r="I917" s="4"/>
    </row>
    <row r="918" ht="15.75" customHeight="1" spans="9:9">
      <c r="I918" s="4"/>
    </row>
    <row r="919" ht="15.75" customHeight="1" spans="9:9">
      <c r="I919" s="4"/>
    </row>
    <row r="920" ht="15.75" customHeight="1" spans="9:9">
      <c r="I920" s="4"/>
    </row>
    <row r="921" ht="15.75" customHeight="1" spans="9:9">
      <c r="I921" s="4"/>
    </row>
    <row r="922" ht="15.75" customHeight="1" spans="9:9">
      <c r="I922" s="4"/>
    </row>
    <row r="923" ht="15.75" customHeight="1" spans="9:9">
      <c r="I923" s="4"/>
    </row>
    <row r="924" ht="15.75" customHeight="1" spans="9:9">
      <c r="I924" s="4"/>
    </row>
    <row r="925" ht="15.75" customHeight="1" spans="9:9">
      <c r="I925" s="4"/>
    </row>
    <row r="926" ht="15.75" customHeight="1" spans="9:9">
      <c r="I926" s="4"/>
    </row>
    <row r="927" ht="15.75" customHeight="1" spans="9:9">
      <c r="I927" s="4"/>
    </row>
    <row r="928" ht="15.75" customHeight="1" spans="9:9">
      <c r="I928" s="4"/>
    </row>
    <row r="929" ht="15.75" customHeight="1" spans="9:9">
      <c r="I929" s="4"/>
    </row>
    <row r="930" ht="15.75" customHeight="1" spans="9:9">
      <c r="I930" s="4"/>
    </row>
    <row r="931" ht="15.75" customHeight="1" spans="9:9">
      <c r="I931" s="4"/>
    </row>
    <row r="932" ht="15.75" customHeight="1" spans="9:9">
      <c r="I932" s="4"/>
    </row>
    <row r="933" ht="15.75" customHeight="1" spans="9:9">
      <c r="I933" s="4"/>
    </row>
    <row r="934" ht="15.75" customHeight="1" spans="9:9">
      <c r="I934" s="4"/>
    </row>
    <row r="935" ht="15.75" customHeight="1" spans="9:9">
      <c r="I935" s="4"/>
    </row>
    <row r="936" ht="15.75" customHeight="1" spans="9:9">
      <c r="I936" s="4"/>
    </row>
    <row r="937" ht="15.75" customHeight="1" spans="9:9">
      <c r="I937" s="4"/>
    </row>
    <row r="938" ht="15.75" customHeight="1" spans="9:9">
      <c r="I938" s="4"/>
    </row>
    <row r="939" ht="15.75" customHeight="1" spans="9:9">
      <c r="I939" s="4"/>
    </row>
    <row r="940" ht="15.75" customHeight="1" spans="9:9">
      <c r="I940" s="4"/>
    </row>
    <row r="941" ht="15.75" customHeight="1" spans="9:9">
      <c r="I941" s="4"/>
    </row>
    <row r="942" ht="15.75" customHeight="1" spans="9:9">
      <c r="I942" s="4"/>
    </row>
    <row r="943" ht="15.75" customHeight="1" spans="9:9">
      <c r="I943" s="4"/>
    </row>
    <row r="944" ht="15.75" customHeight="1" spans="9:9">
      <c r="I944" s="4"/>
    </row>
    <row r="945" ht="15.75" customHeight="1" spans="9:9">
      <c r="I945" s="4"/>
    </row>
    <row r="946" ht="15.75" customHeight="1" spans="9:9">
      <c r="I946" s="4"/>
    </row>
    <row r="947" ht="15.75" customHeight="1" spans="9:9">
      <c r="I947" s="4"/>
    </row>
    <row r="948" ht="15.75" customHeight="1" spans="9:9">
      <c r="I948" s="4"/>
    </row>
    <row r="949" ht="15.75" customHeight="1" spans="9:9">
      <c r="I949" s="4"/>
    </row>
    <row r="950" ht="15.75" customHeight="1" spans="9:9">
      <c r="I950" s="4"/>
    </row>
    <row r="951" ht="15.75" customHeight="1" spans="9:9">
      <c r="I951" s="4"/>
    </row>
    <row r="952" ht="15.75" customHeight="1" spans="9:9">
      <c r="I952" s="4"/>
    </row>
    <row r="953" ht="15.75" customHeight="1" spans="9:9">
      <c r="I953" s="4"/>
    </row>
    <row r="954" ht="15.75" customHeight="1" spans="9:9">
      <c r="I954" s="4"/>
    </row>
    <row r="955" ht="15.75" customHeight="1" spans="9:9">
      <c r="I955" s="4"/>
    </row>
    <row r="956" ht="15.75" customHeight="1" spans="9:9">
      <c r="I956" s="4"/>
    </row>
    <row r="957" ht="15.75" customHeight="1" spans="9:9">
      <c r="I957" s="4"/>
    </row>
    <row r="958" ht="15.75" customHeight="1" spans="9:9">
      <c r="I958" s="4"/>
    </row>
    <row r="959" ht="15.75" customHeight="1" spans="9:9">
      <c r="I959" s="4"/>
    </row>
    <row r="960" ht="15.75" customHeight="1" spans="9:9">
      <c r="I960" s="4"/>
    </row>
    <row r="961" ht="15.75" customHeight="1" spans="9:9">
      <c r="I961" s="4"/>
    </row>
    <row r="962" ht="15.75" customHeight="1" spans="9:9">
      <c r="I962" s="4"/>
    </row>
    <row r="963" ht="15.75" customHeight="1" spans="9:9">
      <c r="I963" s="4"/>
    </row>
    <row r="964" ht="15.75" customHeight="1" spans="9:9">
      <c r="I964" s="4"/>
    </row>
    <row r="965" ht="15.75" customHeight="1" spans="9:9">
      <c r="I965" s="4"/>
    </row>
    <row r="966" ht="15.75" customHeight="1" spans="9:9">
      <c r="I966" s="4"/>
    </row>
    <row r="967" ht="15.75" customHeight="1" spans="9:9">
      <c r="I967" s="4"/>
    </row>
    <row r="968" ht="15.75" customHeight="1" spans="9:9">
      <c r="I968" s="4"/>
    </row>
    <row r="969" ht="15.75" customHeight="1" spans="9:9">
      <c r="I969" s="4"/>
    </row>
    <row r="970" ht="15.75" customHeight="1" spans="9:9">
      <c r="I970" s="4"/>
    </row>
    <row r="971" ht="15.75" customHeight="1" spans="9:9">
      <c r="I971" s="4"/>
    </row>
    <row r="972" ht="15.75" customHeight="1" spans="9:9">
      <c r="I972" s="4"/>
    </row>
    <row r="973" ht="15.75" customHeight="1" spans="9:9">
      <c r="I973" s="4"/>
    </row>
    <row r="974" ht="15.75" customHeight="1" spans="9:9">
      <c r="I974" s="4"/>
    </row>
    <row r="975" ht="15.75" customHeight="1" spans="9:9">
      <c r="I975" s="4"/>
    </row>
    <row r="976" ht="15.75" customHeight="1" spans="9:9">
      <c r="I976" s="4"/>
    </row>
    <row r="977" ht="15.75" customHeight="1" spans="9:9">
      <c r="I977" s="4"/>
    </row>
    <row r="978" ht="15.75" customHeight="1" spans="9:9">
      <c r="I978" s="4"/>
    </row>
    <row r="979" ht="15.75" customHeight="1" spans="9:9">
      <c r="I979" s="4"/>
    </row>
    <row r="980" ht="15.75" customHeight="1" spans="9:9">
      <c r="I980" s="4"/>
    </row>
    <row r="981" ht="15.75" customHeight="1" spans="9:9">
      <c r="I981" s="4"/>
    </row>
    <row r="982" ht="15.75" customHeight="1" spans="9:9">
      <c r="I982" s="4"/>
    </row>
    <row r="983" ht="15.75" customHeight="1" spans="9:9">
      <c r="I983" s="4"/>
    </row>
    <row r="984" ht="15.75" customHeight="1" spans="9:9">
      <c r="I984" s="4"/>
    </row>
    <row r="985" ht="15.75" customHeight="1" spans="9:9">
      <c r="I985" s="4"/>
    </row>
    <row r="986" ht="15.75" customHeight="1" spans="9:9">
      <c r="I986" s="4"/>
    </row>
    <row r="987" ht="15.75" customHeight="1" spans="9:9">
      <c r="I987" s="4"/>
    </row>
    <row r="988" ht="15.75" customHeight="1" spans="9:9">
      <c r="I988" s="4"/>
    </row>
    <row r="989" ht="15.75" customHeight="1" spans="9:9">
      <c r="I989" s="4"/>
    </row>
    <row r="990" ht="15.75" customHeight="1" spans="9:9">
      <c r="I990" s="4"/>
    </row>
    <row r="991" ht="15.75" customHeight="1" spans="9:9">
      <c r="I991" s="4"/>
    </row>
    <row r="992" ht="15.75" customHeight="1" spans="9:9">
      <c r="I992" s="4"/>
    </row>
    <row r="993" ht="15.75" customHeight="1" spans="9:9">
      <c r="I993" s="4"/>
    </row>
    <row r="994" ht="15.75" customHeight="1" spans="9:9">
      <c r="I994" s="4"/>
    </row>
    <row r="995" ht="15.75" customHeight="1" spans="9:9">
      <c r="I995" s="4"/>
    </row>
    <row r="996" ht="15.75" customHeight="1" spans="9:9">
      <c r="I996" s="4"/>
    </row>
    <row r="997" ht="15.75" customHeight="1" spans="9:9">
      <c r="I997" s="4"/>
    </row>
    <row r="998" ht="15.75" customHeight="1" spans="9:9">
      <c r="I998" s="4"/>
    </row>
    <row r="999" ht="15.75" customHeight="1" spans="9:9">
      <c r="I999" s="4"/>
    </row>
    <row r="1000" ht="14.4" spans="9:9">
      <c r="I1000" s="4"/>
    </row>
    <row r="1001" ht="14.4" spans="9:9">
      <c r="I1001" s="4"/>
    </row>
    <row r="1002" ht="14.4" spans="9:9">
      <c r="I1002" s="4"/>
    </row>
    <row r="1003" ht="14.4" spans="9:9">
      <c r="I1003" s="4"/>
    </row>
    <row r="1004" ht="14.4" spans="9:9">
      <c r="I1004" s="4"/>
    </row>
  </sheetData>
  <mergeCells count="14">
    <mergeCell ref="C6:E6"/>
    <mergeCell ref="I6:K6"/>
    <mergeCell ref="A15:D15"/>
    <mergeCell ref="G15:J15"/>
    <mergeCell ref="C20:J20"/>
    <mergeCell ref="A28:H28"/>
    <mergeCell ref="C32:J32"/>
    <mergeCell ref="A40:H40"/>
    <mergeCell ref="A6:A7"/>
    <mergeCell ref="A20:A21"/>
    <mergeCell ref="A32:A33"/>
    <mergeCell ref="B6:B7"/>
    <mergeCell ref="B20:B21"/>
    <mergeCell ref="B32:B33"/>
  </mergeCells>
  <pageMargins left="0.7" right="0.7" top="0.75" bottom="0.75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10" workbookViewId="0">
      <selection activeCell="A1" sqref="A1:H1"/>
    </sheetView>
  </sheetViews>
  <sheetFormatPr defaultColWidth="14.4259259259259" defaultRowHeight="15" customHeight="1"/>
  <cols>
    <col min="1" max="1" width="5.57407407407407" customWidth="1"/>
    <col min="2" max="2" width="21.1388888888889" customWidth="1"/>
    <col min="3" max="3" width="16.8518518518519" customWidth="1"/>
    <col min="4" max="4" width="8.71296296296296" customWidth="1"/>
    <col min="5" max="5" width="9.85185185185185" customWidth="1"/>
    <col min="6" max="6" width="5.85185185185185" customWidth="1"/>
    <col min="7" max="7" width="7" customWidth="1"/>
    <col min="8" max="8" width="8.13888888888889" customWidth="1"/>
    <col min="9" max="23" width="8.85185185185185" customWidth="1"/>
  </cols>
  <sheetData>
    <row r="1" customHeight="1" spans="1:26">
      <c r="A1" s="1" t="s">
        <v>103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4"/>
      <c r="Y1" s="4"/>
      <c r="Z1" s="4"/>
    </row>
    <row r="2" ht="17.4" spans="1:26">
      <c r="A2" s="2" t="s">
        <v>104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4"/>
      <c r="Y2" s="4"/>
      <c r="Z2" s="4"/>
    </row>
    <row r="3" ht="17.4" spans="1:26">
      <c r="A3" s="2" t="s">
        <v>105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4"/>
      <c r="Y3" s="4"/>
      <c r="Z3" s="4"/>
    </row>
    <row r="4" customHeight="1" spans="1:26">
      <c r="A4" s="3" t="s">
        <v>106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4"/>
      <c r="Y4" s="4"/>
      <c r="Z4" s="4"/>
    </row>
    <row r="5" customHeight="1" spans="1:26">
      <c r="A5" s="3"/>
      <c r="B5" s="3"/>
      <c r="C5" s="3"/>
      <c r="D5" s="3"/>
      <c r="E5" s="3"/>
      <c r="F5" s="3"/>
      <c r="G5" s="3"/>
      <c r="H5" s="3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4"/>
      <c r="Y5" s="4"/>
      <c r="Z5" s="4"/>
    </row>
    <row r="6" ht="21.75" customHeight="1" spans="1:26">
      <c r="A6" s="13" t="s">
        <v>2</v>
      </c>
      <c r="B6" s="14" t="s">
        <v>107</v>
      </c>
      <c r="C6" s="14" t="s">
        <v>3</v>
      </c>
      <c r="D6" s="7" t="s">
        <v>76</v>
      </c>
      <c r="E6" s="8"/>
      <c r="F6" s="8"/>
      <c r="G6" s="8"/>
      <c r="H6" s="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4"/>
      <c r="Y6" s="4"/>
      <c r="Z6" s="4"/>
    </row>
    <row r="7" ht="28.5" customHeight="1" spans="1:26">
      <c r="A7" s="29"/>
      <c r="B7" s="29"/>
      <c r="C7" s="29"/>
      <c r="D7" s="11" t="s">
        <v>6</v>
      </c>
      <c r="E7" s="11" t="s">
        <v>9</v>
      </c>
      <c r="F7" s="11" t="s">
        <v>108</v>
      </c>
      <c r="G7" s="11" t="s">
        <v>109</v>
      </c>
      <c r="H7" s="12" t="s">
        <v>8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4"/>
      <c r="Y7" s="4"/>
      <c r="Z7" s="4"/>
    </row>
    <row r="8" ht="14.25" customHeight="1" spans="1:26">
      <c r="A8" s="19">
        <v>1</v>
      </c>
      <c r="B8" s="42" t="s">
        <v>110</v>
      </c>
      <c r="C8" s="18" t="s">
        <v>111</v>
      </c>
      <c r="D8" s="18">
        <v>3</v>
      </c>
      <c r="E8" s="18"/>
      <c r="F8" s="18"/>
      <c r="G8" s="19">
        <v>2</v>
      </c>
      <c r="H8" s="19">
        <f>SUM(D8:G9)</f>
        <v>13</v>
      </c>
      <c r="I8" s="37"/>
      <c r="J8" s="44" t="s">
        <v>112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"/>
      <c r="Y8" s="4"/>
      <c r="Z8" s="4"/>
    </row>
    <row r="9" ht="14.25" customHeight="1" spans="1:26">
      <c r="A9" s="29"/>
      <c r="B9" s="29"/>
      <c r="C9" s="18" t="s">
        <v>113</v>
      </c>
      <c r="D9" s="18"/>
      <c r="E9" s="18">
        <v>8</v>
      </c>
      <c r="F9" s="18"/>
      <c r="G9" s="29"/>
      <c r="H9" s="29"/>
      <c r="I9" s="37"/>
      <c r="J9" s="44" t="s">
        <v>114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4"/>
      <c r="Y9" s="4"/>
      <c r="Z9" s="4"/>
    </row>
    <row r="10" ht="14.25" customHeight="1" spans="1:26">
      <c r="A10" s="19">
        <v>2</v>
      </c>
      <c r="B10" s="42" t="s">
        <v>115</v>
      </c>
      <c r="C10" s="18" t="s">
        <v>116</v>
      </c>
      <c r="D10" s="18">
        <v>4</v>
      </c>
      <c r="E10" s="18">
        <v>8</v>
      </c>
      <c r="F10" s="18"/>
      <c r="G10" s="19">
        <v>2</v>
      </c>
      <c r="H10" s="19">
        <f>SUM(D10:G11)</f>
        <v>14</v>
      </c>
      <c r="I10" s="37"/>
      <c r="J10" s="44" t="s">
        <v>117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4"/>
      <c r="Y10" s="4"/>
      <c r="Z10" s="4"/>
    </row>
    <row r="11" ht="14.25" customHeight="1" spans="1:26">
      <c r="A11" s="29"/>
      <c r="B11" s="29"/>
      <c r="C11" s="18"/>
      <c r="D11" s="18"/>
      <c r="E11" s="18"/>
      <c r="F11" s="18"/>
      <c r="G11" s="29"/>
      <c r="H11" s="29"/>
      <c r="I11" s="37"/>
      <c r="J11" s="44" t="s">
        <v>118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4"/>
      <c r="Y11" s="4"/>
      <c r="Z11" s="4"/>
    </row>
    <row r="12" ht="14.25" customHeight="1" spans="1:26">
      <c r="A12" s="19">
        <v>3</v>
      </c>
      <c r="B12" s="42" t="s">
        <v>119</v>
      </c>
      <c r="C12" s="31" t="s">
        <v>120</v>
      </c>
      <c r="D12" s="31">
        <v>4</v>
      </c>
      <c r="E12" s="31">
        <v>4</v>
      </c>
      <c r="F12" s="31"/>
      <c r="G12" s="19">
        <v>2</v>
      </c>
      <c r="H12" s="19">
        <f>SUM(D12:G14)</f>
        <v>14</v>
      </c>
      <c r="I12" s="37"/>
      <c r="J12" s="44" t="s">
        <v>121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4"/>
      <c r="Y12" s="4"/>
      <c r="Z12" s="4"/>
    </row>
    <row r="13" ht="14.25" customHeight="1" spans="1:26">
      <c r="A13" s="32"/>
      <c r="B13" s="32"/>
      <c r="C13" s="31" t="s">
        <v>113</v>
      </c>
      <c r="D13" s="18"/>
      <c r="E13" s="31">
        <v>4</v>
      </c>
      <c r="F13" s="31"/>
      <c r="G13" s="32"/>
      <c r="H13" s="32"/>
      <c r="I13" s="37"/>
      <c r="J13" s="44" t="s">
        <v>122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"/>
      <c r="Y13" s="4"/>
      <c r="Z13" s="4"/>
    </row>
    <row r="14" ht="14.25" customHeight="1" spans="1:26">
      <c r="A14" s="29"/>
      <c r="B14" s="29"/>
      <c r="C14" s="18"/>
      <c r="D14" s="18"/>
      <c r="E14" s="18"/>
      <c r="F14" s="18"/>
      <c r="G14" s="29"/>
      <c r="H14" s="29"/>
      <c r="I14" s="37"/>
      <c r="J14" s="44" t="s">
        <v>123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4"/>
      <c r="Y14" s="4"/>
      <c r="Z14" s="4"/>
    </row>
    <row r="15" ht="14.25" customHeight="1" spans="1:26">
      <c r="A15" s="19">
        <v>4</v>
      </c>
      <c r="B15" s="42" t="s">
        <v>124</v>
      </c>
      <c r="C15" s="18" t="s">
        <v>125</v>
      </c>
      <c r="D15" s="18">
        <v>3</v>
      </c>
      <c r="E15" s="18">
        <v>8</v>
      </c>
      <c r="F15" s="18"/>
      <c r="G15" s="19">
        <v>2</v>
      </c>
      <c r="H15" s="19">
        <f>SUM(D15:G17)</f>
        <v>14</v>
      </c>
      <c r="I15" s="37"/>
      <c r="J15" s="44" t="s">
        <v>126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4"/>
      <c r="Y15" s="4"/>
      <c r="Z15" s="4"/>
    </row>
    <row r="16" ht="14.25" customHeight="1" spans="1:26">
      <c r="A16" s="32"/>
      <c r="B16" s="32"/>
      <c r="C16" s="18" t="s">
        <v>127</v>
      </c>
      <c r="D16" s="18">
        <v>1</v>
      </c>
      <c r="E16" s="18"/>
      <c r="F16" s="18"/>
      <c r="G16" s="32"/>
      <c r="H16" s="32"/>
      <c r="I16" s="37"/>
      <c r="J16" s="44" t="s">
        <v>128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4"/>
      <c r="Y16" s="4"/>
      <c r="Z16" s="4"/>
    </row>
    <row r="17" ht="14.25" customHeight="1" spans="1:26">
      <c r="A17" s="29"/>
      <c r="B17" s="29"/>
      <c r="C17" s="4"/>
      <c r="D17" s="4"/>
      <c r="E17" s="4"/>
      <c r="F17" s="18"/>
      <c r="G17" s="29"/>
      <c r="H17" s="29"/>
      <c r="I17" s="37"/>
      <c r="J17" s="44" t="s">
        <v>129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"/>
      <c r="Y17" s="4"/>
      <c r="Z17" s="4"/>
    </row>
    <row r="18" ht="14.25" customHeight="1" spans="1:26">
      <c r="A18" s="20">
        <v>5</v>
      </c>
      <c r="B18" s="42" t="s">
        <v>130</v>
      </c>
      <c r="C18" s="31" t="s">
        <v>131</v>
      </c>
      <c r="D18" s="31">
        <v>3</v>
      </c>
      <c r="E18" s="31"/>
      <c r="F18" s="31"/>
      <c r="G18" s="20">
        <v>2</v>
      </c>
      <c r="H18" s="19">
        <f>SUM(D18:G20)</f>
        <v>14</v>
      </c>
      <c r="I18" s="37"/>
      <c r="J18" s="44" t="s">
        <v>132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"/>
      <c r="Y18" s="4"/>
      <c r="Z18" s="4"/>
    </row>
    <row r="19" ht="14.25" customHeight="1" spans="1:26">
      <c r="A19" s="32"/>
      <c r="B19" s="32"/>
      <c r="C19" s="31" t="s">
        <v>133</v>
      </c>
      <c r="D19" s="18">
        <v>1</v>
      </c>
      <c r="E19" s="31"/>
      <c r="F19" s="31"/>
      <c r="G19" s="32"/>
      <c r="H19" s="32"/>
      <c r="I19" s="37"/>
      <c r="J19" s="44" t="s">
        <v>134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4"/>
      <c r="Y19" s="4"/>
      <c r="Z19" s="4"/>
    </row>
    <row r="20" ht="14.25" customHeight="1" spans="1:26">
      <c r="A20" s="29"/>
      <c r="B20" s="29"/>
      <c r="C20" s="31" t="s">
        <v>135</v>
      </c>
      <c r="D20" s="18"/>
      <c r="E20" s="31">
        <v>8</v>
      </c>
      <c r="F20" s="31"/>
      <c r="G20" s="29"/>
      <c r="H20" s="29"/>
      <c r="I20" s="37"/>
      <c r="J20" s="44" t="s">
        <v>136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4"/>
      <c r="Y20" s="4"/>
      <c r="Z20" s="4"/>
    </row>
    <row r="21" ht="14.25" customHeight="1" spans="1:26">
      <c r="A21" s="19">
        <v>6</v>
      </c>
      <c r="B21" s="42" t="s">
        <v>137</v>
      </c>
      <c r="C21" s="31" t="s">
        <v>138</v>
      </c>
      <c r="D21" s="18">
        <v>4</v>
      </c>
      <c r="E21" s="31">
        <v>4</v>
      </c>
      <c r="F21" s="31"/>
      <c r="G21" s="20">
        <v>2</v>
      </c>
      <c r="H21" s="19">
        <f>SUM(D21:G22)</f>
        <v>14</v>
      </c>
      <c r="I21" s="37"/>
      <c r="J21" s="44" t="s">
        <v>139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4"/>
      <c r="Y21" s="4"/>
      <c r="Z21" s="4"/>
    </row>
    <row r="22" ht="14.25" customHeight="1" spans="1:26">
      <c r="A22" s="29"/>
      <c r="B22" s="29"/>
      <c r="C22" s="31" t="s">
        <v>140</v>
      </c>
      <c r="D22" s="18"/>
      <c r="E22" s="31">
        <v>4</v>
      </c>
      <c r="F22" s="31"/>
      <c r="G22" s="29"/>
      <c r="H22" s="29"/>
      <c r="I22" s="37"/>
      <c r="J22" s="44" t="s">
        <v>141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4"/>
      <c r="Y22" s="4"/>
      <c r="Z22" s="4"/>
    </row>
    <row r="23" ht="14.25" customHeight="1" spans="1:26">
      <c r="A23" s="19">
        <v>7</v>
      </c>
      <c r="B23" s="42" t="s">
        <v>142</v>
      </c>
      <c r="C23" s="31" t="s">
        <v>143</v>
      </c>
      <c r="D23" s="31">
        <v>4</v>
      </c>
      <c r="E23" s="31"/>
      <c r="F23" s="31"/>
      <c r="G23" s="19">
        <v>2</v>
      </c>
      <c r="H23" s="19">
        <f>SUM(D23:G25)</f>
        <v>14</v>
      </c>
      <c r="I23" s="37"/>
      <c r="J23" s="44" t="s">
        <v>144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4"/>
      <c r="Y23" s="4"/>
      <c r="Z23" s="4"/>
    </row>
    <row r="24" ht="14.25" customHeight="1" spans="1:26">
      <c r="A24" s="32"/>
      <c r="B24" s="32"/>
      <c r="C24" s="31" t="s">
        <v>145</v>
      </c>
      <c r="D24" s="31"/>
      <c r="E24" s="31">
        <v>4</v>
      </c>
      <c r="F24" s="31"/>
      <c r="G24" s="32"/>
      <c r="H24" s="32"/>
      <c r="I24" s="37"/>
      <c r="J24" s="44" t="s">
        <v>146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"/>
      <c r="Y24" s="4"/>
      <c r="Z24" s="4"/>
    </row>
    <row r="25" ht="14.25" customHeight="1" spans="1:26">
      <c r="A25" s="29"/>
      <c r="B25" s="29"/>
      <c r="C25" s="31" t="s">
        <v>147</v>
      </c>
      <c r="D25" s="31"/>
      <c r="E25" s="31">
        <v>4</v>
      </c>
      <c r="F25" s="31"/>
      <c r="G25" s="29"/>
      <c r="H25" s="29"/>
      <c r="I25" s="37"/>
      <c r="J25" s="44" t="s">
        <v>148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"/>
      <c r="Y25" s="4"/>
      <c r="Z25" s="4"/>
    </row>
    <row r="26" ht="14.25" customHeight="1" spans="1:26">
      <c r="A26" s="19">
        <v>8</v>
      </c>
      <c r="B26" s="42" t="s">
        <v>149</v>
      </c>
      <c r="C26" s="31" t="s">
        <v>150</v>
      </c>
      <c r="D26" s="31">
        <v>4</v>
      </c>
      <c r="E26" s="18"/>
      <c r="F26" s="18"/>
      <c r="G26" s="19">
        <v>2</v>
      </c>
      <c r="H26" s="19">
        <f>SUM(D26:G29)</f>
        <v>15</v>
      </c>
      <c r="I26" s="37"/>
      <c r="J26" s="44" t="s">
        <v>151</v>
      </c>
      <c r="K26" s="4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4"/>
      <c r="Y26" s="4"/>
      <c r="Z26" s="4"/>
    </row>
    <row r="27" ht="14.25" customHeight="1" spans="1:26">
      <c r="A27" s="32"/>
      <c r="B27" s="32"/>
      <c r="C27" s="18" t="s">
        <v>152</v>
      </c>
      <c r="D27" s="18">
        <v>3</v>
      </c>
      <c r="E27" s="18"/>
      <c r="F27" s="18"/>
      <c r="G27" s="32"/>
      <c r="H27" s="32"/>
      <c r="I27" s="37"/>
      <c r="J27" s="45" t="s">
        <v>153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"/>
      <c r="Y27" s="4"/>
      <c r="Z27" s="4"/>
    </row>
    <row r="28" ht="14.25" customHeight="1" spans="1:26">
      <c r="A28" s="32"/>
      <c r="B28" s="32"/>
      <c r="C28" s="18" t="s">
        <v>154</v>
      </c>
      <c r="D28" s="18"/>
      <c r="E28" s="18">
        <v>6</v>
      </c>
      <c r="F28" s="18"/>
      <c r="G28" s="32"/>
      <c r="H28" s="32"/>
      <c r="I28" s="37"/>
      <c r="J28" s="45" t="s">
        <v>155</v>
      </c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"/>
      <c r="Y28" s="4"/>
      <c r="Z28" s="4"/>
    </row>
    <row r="29" ht="14.25" customHeight="1" spans="1:26">
      <c r="A29" s="29"/>
      <c r="B29" s="29"/>
      <c r="C29" s="18"/>
      <c r="D29" s="18"/>
      <c r="E29" s="18"/>
      <c r="F29" s="18"/>
      <c r="G29" s="29"/>
      <c r="H29" s="29"/>
      <c r="I29" s="37"/>
      <c r="J29" s="45" t="s">
        <v>156</v>
      </c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4"/>
      <c r="Y29" s="4"/>
      <c r="Z29" s="4"/>
    </row>
    <row r="30" ht="14.25" customHeight="1" spans="1:26">
      <c r="A30" s="19">
        <v>9</v>
      </c>
      <c r="B30" s="42" t="s">
        <v>157</v>
      </c>
      <c r="C30" s="18" t="s">
        <v>158</v>
      </c>
      <c r="D30" s="18">
        <v>4</v>
      </c>
      <c r="E30" s="18"/>
      <c r="F30" s="18"/>
      <c r="G30" s="19">
        <v>2</v>
      </c>
      <c r="H30" s="19">
        <f>SUM(D30:G32)</f>
        <v>18</v>
      </c>
      <c r="I30" s="37"/>
      <c r="J30" s="45" t="s">
        <v>159</v>
      </c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4"/>
      <c r="Y30" s="4"/>
      <c r="Z30" s="4"/>
    </row>
    <row r="31" ht="14.25" customHeight="1" spans="1:26">
      <c r="A31" s="32"/>
      <c r="B31" s="32"/>
      <c r="C31" s="31" t="s">
        <v>145</v>
      </c>
      <c r="D31" s="18"/>
      <c r="E31" s="18">
        <v>8</v>
      </c>
      <c r="F31" s="18"/>
      <c r="G31" s="32"/>
      <c r="H31" s="32"/>
      <c r="I31" s="37"/>
      <c r="J31" s="45" t="s">
        <v>160</v>
      </c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4"/>
      <c r="Y31" s="4"/>
      <c r="Z31" s="4"/>
    </row>
    <row r="32" ht="14.25" customHeight="1" spans="1:26">
      <c r="A32" s="29"/>
      <c r="B32" s="29"/>
      <c r="C32" s="31" t="s">
        <v>140</v>
      </c>
      <c r="D32" s="18"/>
      <c r="E32" s="18">
        <v>4</v>
      </c>
      <c r="F32" s="18"/>
      <c r="G32" s="29"/>
      <c r="H32" s="29"/>
      <c r="I32" s="37"/>
      <c r="J32" s="45" t="s">
        <v>161</v>
      </c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4"/>
      <c r="Y32" s="4"/>
      <c r="Z32" s="4"/>
    </row>
    <row r="33" ht="14.25" customHeight="1" spans="1:26">
      <c r="A33" s="19">
        <v>10</v>
      </c>
      <c r="B33" s="42" t="s">
        <v>162</v>
      </c>
      <c r="C33" s="18" t="s">
        <v>163</v>
      </c>
      <c r="D33" s="18">
        <v>4</v>
      </c>
      <c r="E33" s="18">
        <v>8</v>
      </c>
      <c r="F33" s="18"/>
      <c r="G33" s="19">
        <v>2</v>
      </c>
      <c r="H33" s="19">
        <f>SUM(D33:G35)</f>
        <v>17</v>
      </c>
      <c r="I33" s="37"/>
      <c r="J33" s="45" t="s">
        <v>164</v>
      </c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4"/>
      <c r="Y33" s="4"/>
      <c r="Z33" s="4"/>
    </row>
    <row r="34" ht="14.25" customHeight="1" spans="1:26">
      <c r="A34" s="32"/>
      <c r="B34" s="32"/>
      <c r="C34" s="18" t="s">
        <v>165</v>
      </c>
      <c r="D34" s="18">
        <v>3</v>
      </c>
      <c r="E34" s="18"/>
      <c r="F34" s="18"/>
      <c r="G34" s="32"/>
      <c r="H34" s="32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"/>
      <c r="Y34" s="4"/>
      <c r="Z34" s="4"/>
    </row>
    <row r="35" ht="14.25" customHeight="1" spans="1:26">
      <c r="A35" s="29"/>
      <c r="B35" s="29"/>
      <c r="C35" s="4"/>
      <c r="D35" s="4"/>
      <c r="E35" s="4"/>
      <c r="F35" s="18"/>
      <c r="G35" s="29"/>
      <c r="H35" s="2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"/>
      <c r="Y35" s="4"/>
      <c r="Z35" s="4"/>
    </row>
    <row r="36" ht="14.25" customHeight="1" spans="1:26">
      <c r="A36" s="19">
        <v>11</v>
      </c>
      <c r="B36" s="42" t="s">
        <v>166</v>
      </c>
      <c r="C36" s="18" t="s">
        <v>167</v>
      </c>
      <c r="D36" s="18">
        <v>3</v>
      </c>
      <c r="E36" s="18">
        <v>12</v>
      </c>
      <c r="F36" s="18"/>
      <c r="G36" s="19">
        <v>2</v>
      </c>
      <c r="H36" s="19">
        <v>17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"/>
      <c r="Y36" s="4"/>
      <c r="Z36" s="4"/>
    </row>
    <row r="37" ht="14.25" customHeight="1" spans="1:26">
      <c r="A37" s="32"/>
      <c r="B37" s="32"/>
      <c r="C37" s="4"/>
      <c r="D37" s="4"/>
      <c r="E37" s="18"/>
      <c r="F37" s="18"/>
      <c r="G37" s="32"/>
      <c r="H37" s="3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4"/>
      <c r="Y37" s="4"/>
      <c r="Z37" s="4"/>
    </row>
    <row r="38" ht="14.25" customHeight="1" spans="1:26">
      <c r="A38" s="29"/>
      <c r="B38" s="29"/>
      <c r="C38" s="31"/>
      <c r="D38" s="18"/>
      <c r="E38" s="18"/>
      <c r="F38" s="18"/>
      <c r="G38" s="29"/>
      <c r="H38" s="2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4"/>
      <c r="Y38" s="4"/>
      <c r="Z38" s="4"/>
    </row>
    <row r="39" ht="14.25" customHeight="1" spans="1:26">
      <c r="A39" s="19">
        <v>12</v>
      </c>
      <c r="B39" s="42" t="s">
        <v>168</v>
      </c>
      <c r="C39" s="18" t="s">
        <v>169</v>
      </c>
      <c r="D39" s="18">
        <v>3</v>
      </c>
      <c r="E39" s="18">
        <v>8</v>
      </c>
      <c r="F39" s="18"/>
      <c r="G39" s="19">
        <v>2</v>
      </c>
      <c r="H39" s="19">
        <f>SUM(D39:G41)</f>
        <v>15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4"/>
      <c r="Y39" s="4"/>
      <c r="Z39" s="4"/>
    </row>
    <row r="40" ht="14.25" customHeight="1" spans="1:26">
      <c r="A40" s="32"/>
      <c r="B40" s="32"/>
      <c r="C40" s="18" t="s">
        <v>170</v>
      </c>
      <c r="D40" s="18"/>
      <c r="E40" s="18">
        <v>2</v>
      </c>
      <c r="F40" s="18"/>
      <c r="G40" s="32"/>
      <c r="H40" s="32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4"/>
      <c r="Y40" s="4"/>
      <c r="Z40" s="4"/>
    </row>
    <row r="41" ht="14.25" customHeight="1" spans="1:26">
      <c r="A41" s="29"/>
      <c r="B41" s="29"/>
      <c r="C41" s="26"/>
      <c r="D41" s="26"/>
      <c r="E41" s="26"/>
      <c r="F41" s="26"/>
      <c r="G41" s="29"/>
      <c r="H41" s="2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4"/>
      <c r="Y41" s="4"/>
      <c r="Z41" s="4"/>
    </row>
    <row r="42" ht="14.25" customHeight="1" spans="1:26">
      <c r="A42" s="19">
        <v>13</v>
      </c>
      <c r="B42" s="42" t="s">
        <v>171</v>
      </c>
      <c r="C42" s="18" t="s">
        <v>172</v>
      </c>
      <c r="D42" s="18">
        <v>3</v>
      </c>
      <c r="E42" s="26"/>
      <c r="F42" s="18"/>
      <c r="G42" s="19">
        <v>2</v>
      </c>
      <c r="H42" s="19">
        <f>SUM(D42:G46)</f>
        <v>17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4"/>
      <c r="Y42" s="4"/>
      <c r="Z42" s="4"/>
    </row>
    <row r="43" ht="14.25" customHeight="1" spans="1:26">
      <c r="A43" s="32"/>
      <c r="B43" s="32"/>
      <c r="C43" s="18" t="s">
        <v>173</v>
      </c>
      <c r="D43" s="18">
        <v>3</v>
      </c>
      <c r="E43" s="18"/>
      <c r="F43" s="18"/>
      <c r="G43" s="32"/>
      <c r="H43" s="32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4"/>
      <c r="Y43" s="4"/>
      <c r="Z43" s="4"/>
    </row>
    <row r="44" ht="14.25" customHeight="1" spans="1:26">
      <c r="A44" s="32"/>
      <c r="B44" s="32"/>
      <c r="C44" s="18" t="s">
        <v>174</v>
      </c>
      <c r="D44" s="18">
        <v>1</v>
      </c>
      <c r="E44" s="18"/>
      <c r="F44" s="18"/>
      <c r="G44" s="32"/>
      <c r="H44" s="32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4"/>
      <c r="Y44" s="4"/>
      <c r="Z44" s="4"/>
    </row>
    <row r="45" ht="14.25" customHeight="1" spans="1:26">
      <c r="A45" s="32"/>
      <c r="B45" s="32"/>
      <c r="C45" s="18" t="s">
        <v>140</v>
      </c>
      <c r="D45" s="18"/>
      <c r="E45" s="18">
        <v>8</v>
      </c>
      <c r="F45" s="18"/>
      <c r="G45" s="32"/>
      <c r="H45" s="32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4"/>
      <c r="Y45" s="4"/>
      <c r="Z45" s="4"/>
    </row>
    <row r="46" ht="14.25" customHeight="1" spans="1:26">
      <c r="A46" s="29"/>
      <c r="B46" s="29"/>
      <c r="C46" s="4"/>
      <c r="D46" s="4"/>
      <c r="E46" s="4"/>
      <c r="F46" s="18"/>
      <c r="G46" s="29"/>
      <c r="H46" s="2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4"/>
      <c r="Y46" s="4"/>
      <c r="Z46" s="4"/>
    </row>
    <row r="47" ht="14.25" customHeight="1" spans="1:26">
      <c r="A47" s="19">
        <v>14</v>
      </c>
      <c r="B47" s="42" t="s">
        <v>175</v>
      </c>
      <c r="C47" s="18" t="s">
        <v>176</v>
      </c>
      <c r="D47" s="18">
        <v>3</v>
      </c>
      <c r="E47" s="18">
        <v>8</v>
      </c>
      <c r="F47" s="18"/>
      <c r="G47" s="19">
        <v>2</v>
      </c>
      <c r="H47" s="19">
        <f>SUM(D47:G49)</f>
        <v>17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4"/>
      <c r="Y47" s="4"/>
      <c r="Z47" s="4"/>
    </row>
    <row r="48" ht="14.25" customHeight="1" spans="1:26">
      <c r="A48" s="32"/>
      <c r="B48" s="32"/>
      <c r="C48" s="4"/>
      <c r="D48" s="4"/>
      <c r="E48" s="18"/>
      <c r="F48" s="18"/>
      <c r="G48" s="32"/>
      <c r="H48" s="32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4"/>
      <c r="Y48" s="4"/>
      <c r="Z48" s="4"/>
    </row>
    <row r="49" ht="14.25" customHeight="1" spans="1:26">
      <c r="A49" s="29"/>
      <c r="B49" s="29"/>
      <c r="C49" s="18" t="s">
        <v>177</v>
      </c>
      <c r="D49" s="18"/>
      <c r="E49" s="18">
        <v>4</v>
      </c>
      <c r="F49" s="18"/>
      <c r="G49" s="29"/>
      <c r="H49" s="2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4"/>
      <c r="Y49" s="4"/>
      <c r="Z49" s="4"/>
    </row>
    <row r="50" ht="14.25" customHeight="1" spans="1:26">
      <c r="A50" s="20">
        <v>15</v>
      </c>
      <c r="B50" s="43" t="s">
        <v>178</v>
      </c>
      <c r="C50" s="31" t="s">
        <v>179</v>
      </c>
      <c r="D50" s="31">
        <v>3</v>
      </c>
      <c r="E50" s="31"/>
      <c r="F50" s="31"/>
      <c r="G50" s="20">
        <v>2</v>
      </c>
      <c r="H50" s="19">
        <f>SUM(D50:G52)</f>
        <v>13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4"/>
      <c r="Y50" s="4"/>
      <c r="Z50" s="4"/>
    </row>
    <row r="51" ht="14.25" customHeight="1" spans="1:26">
      <c r="A51" s="32"/>
      <c r="B51" s="32"/>
      <c r="C51" s="31" t="s">
        <v>138</v>
      </c>
      <c r="D51" s="31"/>
      <c r="E51" s="31">
        <v>8</v>
      </c>
      <c r="F51" s="31"/>
      <c r="G51" s="32"/>
      <c r="H51" s="32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4"/>
      <c r="Y51" s="4"/>
      <c r="Z51" s="4"/>
    </row>
    <row r="52" ht="14.25" customHeight="1" spans="1:26">
      <c r="A52" s="29"/>
      <c r="B52" s="29"/>
      <c r="C52" s="4"/>
      <c r="D52" s="4"/>
      <c r="E52" s="4"/>
      <c r="F52" s="18"/>
      <c r="G52" s="29"/>
      <c r="H52" s="2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4"/>
      <c r="Y52" s="4"/>
      <c r="Z52" s="4"/>
    </row>
    <row r="53" ht="14.25" customHeight="1" spans="1:26">
      <c r="A53" s="19">
        <v>16</v>
      </c>
      <c r="B53" s="42" t="s">
        <v>180</v>
      </c>
      <c r="C53" s="31" t="s">
        <v>181</v>
      </c>
      <c r="D53" s="18">
        <v>3</v>
      </c>
      <c r="E53" s="31">
        <v>8</v>
      </c>
      <c r="F53" s="31"/>
      <c r="G53" s="20">
        <v>2</v>
      </c>
      <c r="H53" s="19">
        <f>SUM(D53:G55)</f>
        <v>17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4"/>
      <c r="Y53" s="4"/>
      <c r="Z53" s="4"/>
    </row>
    <row r="54" ht="14.25" customHeight="1" spans="1:26">
      <c r="A54" s="32"/>
      <c r="B54" s="32"/>
      <c r="C54" s="4"/>
      <c r="D54" s="4"/>
      <c r="E54" s="31"/>
      <c r="F54" s="31"/>
      <c r="G54" s="32"/>
      <c r="H54" s="3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4"/>
      <c r="Y54" s="4"/>
      <c r="Z54" s="4"/>
    </row>
    <row r="55" ht="14.25" customHeight="1" spans="1:26">
      <c r="A55" s="29"/>
      <c r="B55" s="29"/>
      <c r="C55" s="31" t="s">
        <v>138</v>
      </c>
      <c r="D55" s="18"/>
      <c r="E55" s="31">
        <v>4</v>
      </c>
      <c r="F55" s="35"/>
      <c r="G55" s="29"/>
      <c r="H55" s="2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4"/>
      <c r="Y55" s="4"/>
      <c r="Z55" s="4"/>
    </row>
    <row r="56" ht="14.25" customHeight="1" spans="1:26">
      <c r="A56" s="19">
        <v>17</v>
      </c>
      <c r="B56" s="42" t="s">
        <v>182</v>
      </c>
      <c r="C56" s="31" t="s">
        <v>183</v>
      </c>
      <c r="D56" s="31">
        <v>3</v>
      </c>
      <c r="E56" s="31">
        <v>8</v>
      </c>
      <c r="F56" s="31"/>
      <c r="G56" s="19">
        <v>2</v>
      </c>
      <c r="H56" s="19">
        <f>SUM(D56:G58)</f>
        <v>17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4"/>
      <c r="Y56" s="4"/>
      <c r="Z56" s="4"/>
    </row>
    <row r="57" ht="14.25" customHeight="1" spans="1:26">
      <c r="A57" s="32"/>
      <c r="B57" s="32"/>
      <c r="C57" s="4"/>
      <c r="D57" s="4"/>
      <c r="E57" s="31"/>
      <c r="F57" s="31"/>
      <c r="G57" s="32"/>
      <c r="H57" s="32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4"/>
      <c r="Y57" s="4"/>
      <c r="Z57" s="4"/>
    </row>
    <row r="58" ht="14.25" customHeight="1" spans="1:26">
      <c r="A58" s="29"/>
      <c r="B58" s="29"/>
      <c r="C58" s="31" t="s">
        <v>154</v>
      </c>
      <c r="D58" s="31"/>
      <c r="E58" s="31">
        <v>4</v>
      </c>
      <c r="F58" s="31"/>
      <c r="G58" s="29"/>
      <c r="H58" s="2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4"/>
      <c r="Y58" s="4"/>
      <c r="Z58" s="4"/>
    </row>
    <row r="59" ht="14.25" customHeight="1" spans="1:26">
      <c r="A59" s="19">
        <v>18</v>
      </c>
      <c r="B59" s="43" t="s">
        <v>184</v>
      </c>
      <c r="C59" s="18" t="s">
        <v>185</v>
      </c>
      <c r="D59" s="18">
        <v>3</v>
      </c>
      <c r="E59" s="31"/>
      <c r="F59" s="31"/>
      <c r="G59" s="19">
        <v>2</v>
      </c>
      <c r="H59" s="19">
        <f>SUM(D59:G62)</f>
        <v>16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4"/>
      <c r="Y59" s="4"/>
      <c r="Z59" s="4"/>
    </row>
    <row r="60" ht="14.25" customHeight="1" spans="1:26">
      <c r="A60" s="32"/>
      <c r="B60" s="32"/>
      <c r="C60" s="31" t="s">
        <v>186</v>
      </c>
      <c r="D60" s="31">
        <v>3</v>
      </c>
      <c r="E60" s="31"/>
      <c r="F60" s="31"/>
      <c r="G60" s="32"/>
      <c r="H60" s="32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4"/>
      <c r="Y60" s="4"/>
      <c r="Z60" s="4"/>
    </row>
    <row r="61" ht="14.25" customHeight="1" spans="1:26">
      <c r="A61" s="32"/>
      <c r="B61" s="32"/>
      <c r="C61" s="31" t="s">
        <v>187</v>
      </c>
      <c r="D61" s="31"/>
      <c r="E61" s="31">
        <v>8</v>
      </c>
      <c r="F61" s="31"/>
      <c r="G61" s="32"/>
      <c r="H61" s="32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4"/>
      <c r="Y61" s="4"/>
      <c r="Z61" s="4"/>
    </row>
    <row r="62" ht="14.25" customHeight="1" spans="1:26">
      <c r="A62" s="29"/>
      <c r="B62" s="29"/>
      <c r="C62" s="4"/>
      <c r="D62" s="4"/>
      <c r="E62" s="4"/>
      <c r="F62" s="31"/>
      <c r="G62" s="29"/>
      <c r="H62" s="2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4"/>
      <c r="Y62" s="4"/>
      <c r="Z62" s="4"/>
    </row>
    <row r="63" ht="14.25" customHeight="1" spans="1:26">
      <c r="A63" s="19">
        <v>19</v>
      </c>
      <c r="B63" s="43" t="s">
        <v>188</v>
      </c>
      <c r="C63" s="18" t="s">
        <v>143</v>
      </c>
      <c r="D63" s="18">
        <v>4</v>
      </c>
      <c r="E63" s="18"/>
      <c r="F63" s="18"/>
      <c r="G63" s="19">
        <v>2</v>
      </c>
      <c r="H63" s="19">
        <f>SUM(D63:G65)</f>
        <v>14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4"/>
      <c r="Y63" s="4"/>
      <c r="Z63" s="4"/>
    </row>
    <row r="64" ht="14.25" customHeight="1" spans="1:26">
      <c r="A64" s="32"/>
      <c r="B64" s="32"/>
      <c r="C64" s="18" t="s">
        <v>187</v>
      </c>
      <c r="D64" s="18"/>
      <c r="E64" s="18">
        <v>8</v>
      </c>
      <c r="F64" s="18"/>
      <c r="G64" s="32"/>
      <c r="H64" s="32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4"/>
      <c r="Y64" s="4"/>
      <c r="Z64" s="4"/>
    </row>
    <row r="65" ht="14.25" customHeight="1" spans="1:26">
      <c r="A65" s="29"/>
      <c r="B65" s="29"/>
      <c r="C65" s="4"/>
      <c r="D65" s="4"/>
      <c r="E65" s="4"/>
      <c r="F65" s="18"/>
      <c r="G65" s="29"/>
      <c r="H65" s="2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4"/>
      <c r="Y65" s="4"/>
      <c r="Z65" s="4"/>
    </row>
    <row r="66" ht="14.25" customHeight="1" spans="1:26">
      <c r="A66" s="19">
        <v>20</v>
      </c>
      <c r="B66" s="39" t="s">
        <v>189</v>
      </c>
      <c r="C66" s="31" t="s">
        <v>190</v>
      </c>
      <c r="D66" s="31">
        <v>3</v>
      </c>
      <c r="E66" s="26"/>
      <c r="F66" s="31">
        <v>4</v>
      </c>
      <c r="G66" s="19">
        <v>0</v>
      </c>
      <c r="H66" s="19">
        <v>21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4"/>
      <c r="Y66" s="4"/>
      <c r="Z66" s="4"/>
    </row>
    <row r="67" ht="14.25" customHeight="1" spans="1:26">
      <c r="A67" s="32"/>
      <c r="B67" s="39" t="s">
        <v>189</v>
      </c>
      <c r="C67" s="31" t="s">
        <v>191</v>
      </c>
      <c r="D67" s="31">
        <v>3</v>
      </c>
      <c r="E67" s="26"/>
      <c r="F67" s="31"/>
      <c r="G67" s="32"/>
      <c r="H67" s="32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4"/>
      <c r="Y67" s="4"/>
      <c r="Z67" s="4"/>
    </row>
    <row r="68" ht="14.25" customHeight="1" spans="1:26">
      <c r="A68" s="32"/>
      <c r="B68" s="39" t="s">
        <v>192</v>
      </c>
      <c r="C68" s="31" t="s">
        <v>191</v>
      </c>
      <c r="D68" s="31"/>
      <c r="E68" s="26"/>
      <c r="F68" s="31">
        <v>4</v>
      </c>
      <c r="G68" s="32"/>
      <c r="H68" s="32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4"/>
      <c r="Y68" s="4"/>
      <c r="Z68" s="4"/>
    </row>
    <row r="69" ht="14.25" customHeight="1" spans="1:26">
      <c r="A69" s="32"/>
      <c r="B69" s="39" t="s">
        <v>193</v>
      </c>
      <c r="C69" s="31" t="s">
        <v>194</v>
      </c>
      <c r="D69" s="40">
        <v>3</v>
      </c>
      <c r="E69" s="26"/>
      <c r="F69" s="39"/>
      <c r="G69" s="32"/>
      <c r="H69" s="32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4"/>
      <c r="Y69" s="4"/>
      <c r="Z69" s="4"/>
    </row>
    <row r="70" ht="14.25" customHeight="1" spans="1:26">
      <c r="A70" s="29"/>
      <c r="B70" s="39" t="s">
        <v>195</v>
      </c>
      <c r="C70" s="31" t="s">
        <v>194</v>
      </c>
      <c r="D70" s="40"/>
      <c r="E70" s="26"/>
      <c r="F70" s="31">
        <v>4</v>
      </c>
      <c r="G70" s="29"/>
      <c r="H70" s="29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4"/>
      <c r="Y70" s="4"/>
      <c r="Z70" s="4"/>
    </row>
    <row r="71" ht="14.25" customHeight="1" spans="1:26">
      <c r="A71" s="19">
        <v>21</v>
      </c>
      <c r="B71" s="46" t="s">
        <v>153</v>
      </c>
      <c r="C71" s="31" t="s">
        <v>196</v>
      </c>
      <c r="D71" s="31">
        <v>3</v>
      </c>
      <c r="E71" s="31"/>
      <c r="F71" s="31"/>
      <c r="G71" s="38">
        <v>2</v>
      </c>
      <c r="H71" s="19">
        <v>17</v>
      </c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4"/>
      <c r="Y71" s="4"/>
      <c r="Z71" s="4"/>
    </row>
    <row r="72" ht="14.25" customHeight="1" spans="1:26">
      <c r="A72" s="32"/>
      <c r="B72" s="32"/>
      <c r="C72" s="31" t="s">
        <v>120</v>
      </c>
      <c r="D72" s="31"/>
      <c r="E72" s="31">
        <v>8</v>
      </c>
      <c r="F72" s="31"/>
      <c r="G72" s="32"/>
      <c r="H72" s="32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4"/>
      <c r="Y72" s="4"/>
      <c r="Z72" s="4"/>
    </row>
    <row r="73" ht="15.75" customHeight="1" spans="1:26">
      <c r="A73" s="29"/>
      <c r="B73" s="29"/>
      <c r="C73" s="31" t="s">
        <v>140</v>
      </c>
      <c r="D73" s="31"/>
      <c r="E73" s="31">
        <v>4</v>
      </c>
      <c r="F73" s="31"/>
      <c r="G73" s="29"/>
      <c r="H73" s="2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4"/>
      <c r="Y73" s="4"/>
      <c r="Z73" s="4"/>
    </row>
    <row r="74" ht="15.75" customHeight="1" spans="1:26">
      <c r="A74" s="19">
        <v>22</v>
      </c>
      <c r="B74" s="46" t="s">
        <v>155</v>
      </c>
      <c r="C74" s="18" t="s">
        <v>197</v>
      </c>
      <c r="D74" s="18"/>
      <c r="E74" s="18">
        <v>6</v>
      </c>
      <c r="F74" s="31"/>
      <c r="G74" s="19"/>
      <c r="H74" s="19">
        <v>14</v>
      </c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4"/>
      <c r="Y74" s="4"/>
      <c r="Z74" s="4"/>
    </row>
    <row r="75" ht="15.75" customHeight="1" spans="1:26">
      <c r="A75" s="29"/>
      <c r="B75" s="29"/>
      <c r="C75" s="18" t="s">
        <v>113</v>
      </c>
      <c r="D75" s="18"/>
      <c r="E75" s="18">
        <v>8</v>
      </c>
      <c r="F75" s="31"/>
      <c r="G75" s="29"/>
      <c r="H75" s="29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4"/>
      <c r="Y75" s="4"/>
      <c r="Z75" s="4"/>
    </row>
    <row r="76" ht="15.75" customHeight="1" spans="1:26">
      <c r="A76" s="19">
        <v>23</v>
      </c>
      <c r="B76" s="47" t="s">
        <v>156</v>
      </c>
      <c r="C76" s="18" t="s">
        <v>198</v>
      </c>
      <c r="D76" s="18">
        <v>3</v>
      </c>
      <c r="E76" s="26"/>
      <c r="F76" s="31"/>
      <c r="G76" s="17"/>
      <c r="H76" s="19">
        <f>SUM(D76:F78)</f>
        <v>14</v>
      </c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4"/>
      <c r="Y76" s="4"/>
      <c r="Z76" s="4"/>
    </row>
    <row r="77" ht="15.75" customHeight="1" spans="1:26">
      <c r="A77" s="29"/>
      <c r="B77" s="29"/>
      <c r="C77" s="18" t="s">
        <v>199</v>
      </c>
      <c r="D77" s="18"/>
      <c r="E77" s="18">
        <v>8</v>
      </c>
      <c r="F77" s="31"/>
      <c r="G77" s="17"/>
      <c r="H77" s="29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4"/>
      <c r="Y77" s="4"/>
      <c r="Z77" s="4"/>
    </row>
    <row r="78" ht="15.75" customHeight="1" spans="1:26">
      <c r="A78" s="19">
        <v>24</v>
      </c>
      <c r="B78" s="47" t="s">
        <v>159</v>
      </c>
      <c r="C78" s="31" t="s">
        <v>200</v>
      </c>
      <c r="D78" s="31">
        <v>3</v>
      </c>
      <c r="E78" s="26"/>
      <c r="F78" s="31"/>
      <c r="G78" s="17"/>
      <c r="H78" s="19">
        <f>SUM(D78:G80)</f>
        <v>11</v>
      </c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4"/>
      <c r="Y78" s="4"/>
      <c r="Z78" s="4"/>
    </row>
    <row r="79" ht="15.75" customHeight="1" spans="1:26">
      <c r="A79" s="32"/>
      <c r="B79" s="32"/>
      <c r="C79" s="31" t="s">
        <v>145</v>
      </c>
      <c r="D79" s="31"/>
      <c r="E79" s="26">
        <v>4</v>
      </c>
      <c r="F79" s="31"/>
      <c r="G79" s="17"/>
      <c r="H79" s="32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4"/>
      <c r="Y79" s="4"/>
      <c r="Z79" s="4"/>
    </row>
    <row r="80" ht="15.75" customHeight="1" spans="1:26">
      <c r="A80" s="29"/>
      <c r="B80" s="29"/>
      <c r="C80" s="31" t="s">
        <v>147</v>
      </c>
      <c r="D80" s="31"/>
      <c r="E80" s="31">
        <v>4</v>
      </c>
      <c r="F80" s="31"/>
      <c r="G80" s="17"/>
      <c r="H80" s="29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4"/>
      <c r="Y80" s="4"/>
      <c r="Z80" s="4"/>
    </row>
    <row r="81" ht="15.75" customHeight="1" spans="1:26">
      <c r="A81" s="19">
        <v>25</v>
      </c>
      <c r="B81" s="46" t="s">
        <v>160</v>
      </c>
      <c r="C81" s="31" t="s">
        <v>181</v>
      </c>
      <c r="D81" s="31"/>
      <c r="E81" s="31">
        <v>4</v>
      </c>
      <c r="F81" s="31"/>
      <c r="G81" s="17"/>
      <c r="H81" s="19">
        <f>SUM(D81:G83)</f>
        <v>10</v>
      </c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4"/>
      <c r="Y81" s="4"/>
      <c r="Z81" s="4"/>
    </row>
    <row r="82" ht="15.75" customHeight="1" spans="1:26">
      <c r="A82" s="32"/>
      <c r="B82" s="32"/>
      <c r="C82" s="31" t="s">
        <v>120</v>
      </c>
      <c r="D82" s="31"/>
      <c r="E82" s="31">
        <v>4</v>
      </c>
      <c r="F82" s="31"/>
      <c r="G82" s="17"/>
      <c r="H82" s="32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4"/>
      <c r="Y82" s="4"/>
      <c r="Z82" s="4"/>
    </row>
    <row r="83" ht="16.5" customHeight="1" spans="1:26">
      <c r="A83" s="29"/>
      <c r="B83" s="29"/>
      <c r="C83" s="18" t="s">
        <v>177</v>
      </c>
      <c r="D83" s="18"/>
      <c r="E83" s="18">
        <v>2</v>
      </c>
      <c r="F83" s="31"/>
      <c r="G83" s="17"/>
      <c r="H83" s="29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4"/>
      <c r="Y83" s="4"/>
      <c r="Z83" s="4"/>
    </row>
    <row r="84" ht="15.75" customHeight="1" spans="1:26">
      <c r="A84" s="19">
        <v>26</v>
      </c>
      <c r="B84" s="46" t="s">
        <v>161</v>
      </c>
      <c r="C84" s="18" t="s">
        <v>147</v>
      </c>
      <c r="D84" s="18"/>
      <c r="E84" s="18">
        <v>4</v>
      </c>
      <c r="F84" s="31"/>
      <c r="G84" s="17"/>
      <c r="H84" s="19">
        <f>SUM(D84:G86)</f>
        <v>11</v>
      </c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4"/>
      <c r="Y84" s="4"/>
      <c r="Z84" s="4"/>
    </row>
    <row r="85" ht="15.75" customHeight="1" spans="1:26">
      <c r="A85" s="32"/>
      <c r="B85" s="32"/>
      <c r="C85" s="31" t="s">
        <v>201</v>
      </c>
      <c r="D85" s="31">
        <v>3</v>
      </c>
      <c r="E85" s="18"/>
      <c r="F85" s="31"/>
      <c r="G85" s="17"/>
      <c r="H85" s="32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4"/>
      <c r="Y85" s="4"/>
      <c r="Z85" s="4"/>
    </row>
    <row r="86" ht="16.5" customHeight="1" spans="1:26">
      <c r="A86" s="29"/>
      <c r="B86" s="29"/>
      <c r="C86" s="31" t="s">
        <v>135</v>
      </c>
      <c r="D86" s="18"/>
      <c r="E86" s="18">
        <v>4</v>
      </c>
      <c r="F86" s="31"/>
      <c r="G86" s="17"/>
      <c r="H86" s="29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4"/>
      <c r="Y86" s="4"/>
      <c r="Z86" s="4"/>
    </row>
    <row r="87" ht="15.75" customHeight="1" spans="1:26">
      <c r="A87" s="19">
        <v>27</v>
      </c>
      <c r="B87" s="46" t="s">
        <v>164</v>
      </c>
      <c r="C87" s="31" t="s">
        <v>169</v>
      </c>
      <c r="D87" s="18"/>
      <c r="E87" s="18">
        <v>4</v>
      </c>
      <c r="F87" s="31"/>
      <c r="G87" s="17"/>
      <c r="H87" s="19">
        <f>SUM(D87:G89)</f>
        <v>11</v>
      </c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4"/>
      <c r="Y87" s="4"/>
      <c r="Z87" s="4"/>
    </row>
    <row r="88" ht="15.75" customHeight="1" spans="1:26">
      <c r="A88" s="32"/>
      <c r="B88" s="32"/>
      <c r="C88" s="18" t="s">
        <v>140</v>
      </c>
      <c r="D88" s="18"/>
      <c r="E88" s="18">
        <v>4</v>
      </c>
      <c r="F88" s="31"/>
      <c r="G88" s="17"/>
      <c r="H88" s="32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4"/>
      <c r="Y88" s="4"/>
      <c r="Z88" s="4"/>
    </row>
    <row r="89" ht="15.75" customHeight="1" spans="1:26">
      <c r="A89" s="29"/>
      <c r="B89" s="29"/>
      <c r="C89" s="18" t="s">
        <v>202</v>
      </c>
      <c r="D89" s="18">
        <v>3</v>
      </c>
      <c r="E89" s="17"/>
      <c r="F89" s="17"/>
      <c r="G89" s="17"/>
      <c r="H89" s="29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4"/>
      <c r="Y89" s="4"/>
      <c r="Z89" s="4"/>
    </row>
    <row r="90" ht="15.75" customHeight="1" spans="1:26">
      <c r="A90" s="37"/>
      <c r="B90" s="37"/>
      <c r="C90" s="4"/>
      <c r="D90" s="4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4"/>
      <c r="Y90" s="4"/>
      <c r="Z90" s="4"/>
    </row>
    <row r="91" ht="15.75" customHeight="1" spans="1:26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4"/>
      <c r="Y91" s="4"/>
      <c r="Z91" s="4"/>
    </row>
    <row r="92" customHeight="1" spans="1:26">
      <c r="A92" s="37"/>
      <c r="B92" s="41" t="s">
        <v>124</v>
      </c>
      <c r="C92" s="37"/>
      <c r="D92" s="37"/>
      <c r="E92" s="4"/>
      <c r="F92" s="4"/>
      <c r="G92" s="41" t="s">
        <v>110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4"/>
      <c r="Y92" s="4"/>
      <c r="Z92" s="4"/>
    </row>
    <row r="93" customHeight="1" spans="1:26">
      <c r="A93" s="37"/>
      <c r="B93" s="41" t="s">
        <v>203</v>
      </c>
      <c r="C93" s="41"/>
      <c r="D93" s="41"/>
      <c r="E93" s="4"/>
      <c r="F93" s="4"/>
      <c r="G93" s="41" t="s">
        <v>204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4"/>
      <c r="Y93" s="4"/>
      <c r="Z93" s="4"/>
    </row>
    <row r="94" customHeight="1" spans="1:26">
      <c r="A94" s="37"/>
      <c r="B94" s="41"/>
      <c r="C94" s="41"/>
      <c r="D94" s="41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4"/>
      <c r="Y94" s="4"/>
      <c r="Z94" s="4"/>
    </row>
    <row r="95" ht="15.75" customHeight="1" spans="1:26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4"/>
      <c r="Y95" s="4"/>
      <c r="Z95" s="4"/>
    </row>
    <row r="96" ht="15.75" customHeight="1" spans="1:2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4"/>
      <c r="Y96" s="4"/>
      <c r="Z96" s="4"/>
    </row>
    <row r="97" ht="15.75" customHeight="1" spans="1:26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4"/>
      <c r="Y97" s="4"/>
      <c r="Z97" s="4"/>
    </row>
    <row r="98" ht="15.75" customHeight="1" spans="1:26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4"/>
      <c r="Y98" s="4"/>
      <c r="Z98" s="4"/>
    </row>
    <row r="99" ht="15.75" customHeight="1" spans="1:26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4"/>
      <c r="Y99" s="4"/>
      <c r="Z99" s="4"/>
    </row>
    <row r="100" ht="15.75" customHeight="1" spans="1:26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4"/>
      <c r="Y100" s="4"/>
      <c r="Z100" s="4"/>
    </row>
    <row r="101" ht="15.75" customHeight="1" spans="1:26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4"/>
      <c r="Y101" s="4"/>
      <c r="Z101" s="4"/>
    </row>
    <row r="102" ht="15.75" customHeight="1" spans="1:26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4"/>
      <c r="Y102" s="4"/>
      <c r="Z102" s="4"/>
    </row>
    <row r="103" ht="15.75" customHeight="1" spans="1:26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4"/>
      <c r="Y103" s="4"/>
      <c r="Z103" s="4"/>
    </row>
    <row r="104" ht="15.75" customHeight="1" spans="1:26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4"/>
      <c r="Y104" s="4"/>
      <c r="Z104" s="4"/>
    </row>
    <row r="105" ht="15.75" customHeight="1" spans="1:26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4"/>
      <c r="Y105" s="4"/>
      <c r="Z105" s="4"/>
    </row>
    <row r="106" ht="15.75" customHeight="1" spans="1:2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4"/>
      <c r="Y106" s="4"/>
      <c r="Z106" s="4"/>
    </row>
    <row r="107" ht="15.75" customHeight="1" spans="1:26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4"/>
      <c r="Y107" s="4"/>
      <c r="Z107" s="4"/>
    </row>
    <row r="108" ht="15.75" customHeight="1" spans="1:26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4"/>
      <c r="Y108" s="4"/>
      <c r="Z108" s="4"/>
    </row>
    <row r="109" ht="15.75" customHeight="1" spans="1:26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4"/>
      <c r="Y109" s="4"/>
      <c r="Z109" s="4"/>
    </row>
    <row r="110" ht="15.75" customHeight="1" spans="1:26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4"/>
      <c r="Y110" s="4"/>
      <c r="Z110" s="4"/>
    </row>
    <row r="111" ht="15.75" customHeight="1" spans="1:26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4"/>
      <c r="Y111" s="4"/>
      <c r="Z111" s="4"/>
    </row>
    <row r="112" ht="15.75" customHeight="1" spans="1:26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4"/>
      <c r="Y112" s="4"/>
      <c r="Z112" s="4"/>
    </row>
    <row r="113" ht="15.75" customHeight="1" spans="1:26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4"/>
      <c r="Y113" s="4"/>
      <c r="Z113" s="4"/>
    </row>
    <row r="114" ht="15.75" customHeight="1" spans="1:26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4"/>
      <c r="Y114" s="4"/>
      <c r="Z114" s="4"/>
    </row>
    <row r="115" ht="15.75" customHeight="1" spans="1:26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4"/>
      <c r="Y115" s="4"/>
      <c r="Z115" s="4"/>
    </row>
    <row r="116" ht="15.75" customHeight="1" spans="1:2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4"/>
      <c r="Y116" s="4"/>
      <c r="Z116" s="4"/>
    </row>
    <row r="117" ht="15.75" customHeight="1" spans="1:26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4"/>
      <c r="Y117" s="4"/>
      <c r="Z117" s="4"/>
    </row>
    <row r="118" ht="15.75" customHeight="1" spans="1:26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4"/>
      <c r="Y118" s="4"/>
      <c r="Z118" s="4"/>
    </row>
    <row r="119" ht="15.75" customHeight="1" spans="1:26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4"/>
      <c r="Y119" s="4"/>
      <c r="Z119" s="4"/>
    </row>
    <row r="120" ht="15.75" customHeight="1" spans="1:26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4"/>
      <c r="Y120" s="4"/>
      <c r="Z120" s="4"/>
    </row>
    <row r="121" ht="15.75" customHeight="1" spans="1:26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4"/>
      <c r="Y121" s="4"/>
      <c r="Z121" s="4"/>
    </row>
    <row r="122" ht="15.75" customHeight="1" spans="1:26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4"/>
      <c r="Y122" s="4"/>
      <c r="Z122" s="4"/>
    </row>
    <row r="123" ht="15.75" customHeight="1" spans="1:26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4"/>
      <c r="Y123" s="4"/>
      <c r="Z123" s="4"/>
    </row>
    <row r="124" ht="15.75" customHeight="1" spans="1:26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4"/>
      <c r="Y124" s="4"/>
      <c r="Z124" s="4"/>
    </row>
    <row r="125" ht="15.75" customHeight="1" spans="1:26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4"/>
      <c r="Y125" s="4"/>
      <c r="Z125" s="4"/>
    </row>
    <row r="126" ht="15.75" customHeight="1" spans="1: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4"/>
      <c r="Y126" s="4"/>
      <c r="Z126" s="4"/>
    </row>
    <row r="127" ht="15.75" customHeight="1" spans="1:26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4"/>
      <c r="Y127" s="4"/>
      <c r="Z127" s="4"/>
    </row>
    <row r="128" ht="15.75" customHeight="1" spans="1:26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4"/>
      <c r="Y128" s="4"/>
      <c r="Z128" s="4"/>
    </row>
    <row r="129" ht="15.75" customHeight="1" spans="1:26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4"/>
      <c r="Y129" s="4"/>
      <c r="Z129" s="4"/>
    </row>
    <row r="130" ht="15.75" customHeight="1" spans="1:26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4"/>
      <c r="Y130" s="4"/>
      <c r="Z130" s="4"/>
    </row>
    <row r="131" ht="15.75" customHeight="1" spans="1:26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4"/>
      <c r="Y131" s="4"/>
      <c r="Z131" s="4"/>
    </row>
    <row r="132" ht="15.75" customHeight="1" spans="1:26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4"/>
      <c r="Y132" s="4"/>
      <c r="Z132" s="4"/>
    </row>
    <row r="133" ht="15.75" customHeight="1" spans="1:26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4"/>
      <c r="Y133" s="4"/>
      <c r="Z133" s="4"/>
    </row>
    <row r="134" ht="15.75" customHeight="1" spans="1:26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4"/>
      <c r="Y134" s="4"/>
      <c r="Z134" s="4"/>
    </row>
    <row r="135" ht="15.75" customHeight="1" spans="1:26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4"/>
      <c r="Y135" s="4"/>
      <c r="Z135" s="4"/>
    </row>
    <row r="136" ht="15.75" customHeight="1" spans="1:2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4"/>
      <c r="Y136" s="4"/>
      <c r="Z136" s="4"/>
    </row>
    <row r="137" ht="15.75" customHeight="1" spans="1:26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4"/>
      <c r="Y137" s="4"/>
      <c r="Z137" s="4"/>
    </row>
    <row r="138" ht="15.75" customHeight="1" spans="1:26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4"/>
      <c r="Y138" s="4"/>
      <c r="Z138" s="4"/>
    </row>
    <row r="139" ht="15.75" customHeight="1" spans="1:26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4"/>
      <c r="Y139" s="4"/>
      <c r="Z139" s="4"/>
    </row>
    <row r="140" ht="15.75" customHeight="1" spans="1:26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4"/>
      <c r="Y140" s="4"/>
      <c r="Z140" s="4"/>
    </row>
    <row r="141" ht="15.75" customHeight="1" spans="1:26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4"/>
      <c r="Y141" s="4"/>
      <c r="Z141" s="4"/>
    </row>
    <row r="142" ht="15.75" customHeight="1" spans="1:26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4"/>
      <c r="Y142" s="4"/>
      <c r="Z142" s="4"/>
    </row>
    <row r="143" ht="15.75" customHeight="1" spans="1:26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4"/>
      <c r="Y143" s="4"/>
      <c r="Z143" s="4"/>
    </row>
    <row r="144" ht="15.75" customHeight="1" spans="1:26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4"/>
      <c r="Y144" s="4"/>
      <c r="Z144" s="4"/>
    </row>
    <row r="145" ht="15.75" customHeight="1" spans="1:26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4"/>
      <c r="Y145" s="4"/>
      <c r="Z145" s="4"/>
    </row>
    <row r="146" ht="15.75" customHeight="1" spans="1:2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4"/>
      <c r="Y146" s="4"/>
      <c r="Z146" s="4"/>
    </row>
    <row r="147" ht="15.75" customHeight="1" spans="1:26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4"/>
      <c r="Y147" s="4"/>
      <c r="Z147" s="4"/>
    </row>
    <row r="148" ht="15.75" customHeight="1" spans="1:26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4"/>
      <c r="Y148" s="4"/>
      <c r="Z148" s="4"/>
    </row>
    <row r="149" ht="15.75" customHeight="1" spans="1:26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4"/>
      <c r="Y149" s="4"/>
      <c r="Z149" s="4"/>
    </row>
    <row r="150" ht="15.75" customHeight="1" spans="1:26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4"/>
      <c r="Y150" s="4"/>
      <c r="Z150" s="4"/>
    </row>
    <row r="151" ht="15.75" customHeight="1" spans="1:26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4"/>
      <c r="Y151" s="4"/>
      <c r="Z151" s="4"/>
    </row>
    <row r="152" ht="15.75" customHeight="1" spans="1:26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4"/>
      <c r="Y152" s="4"/>
      <c r="Z152" s="4"/>
    </row>
    <row r="153" ht="15.75" customHeight="1" spans="1:26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4"/>
      <c r="Y153" s="4"/>
      <c r="Z153" s="4"/>
    </row>
    <row r="154" ht="15.75" customHeight="1" spans="1:26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4"/>
      <c r="Y154" s="4"/>
      <c r="Z154" s="4"/>
    </row>
    <row r="155" ht="15.75" customHeight="1" spans="1:26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4"/>
      <c r="Y155" s="4"/>
      <c r="Z155" s="4"/>
    </row>
    <row r="156" ht="15.75" customHeight="1" spans="1:2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4"/>
      <c r="Y156" s="4"/>
      <c r="Z156" s="4"/>
    </row>
    <row r="157" ht="15.75" customHeight="1" spans="1:26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4"/>
      <c r="Y157" s="4"/>
      <c r="Z157" s="4"/>
    </row>
    <row r="158" ht="15.75" customHeight="1" spans="1:26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4"/>
      <c r="Y158" s="4"/>
      <c r="Z158" s="4"/>
    </row>
    <row r="159" ht="15.75" customHeight="1" spans="1:26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4"/>
      <c r="Y159" s="4"/>
      <c r="Z159" s="4"/>
    </row>
    <row r="160" ht="15.75" customHeight="1" spans="1:26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4"/>
      <c r="Y160" s="4"/>
      <c r="Z160" s="4"/>
    </row>
    <row r="161" ht="15.75" customHeight="1" spans="1:26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4"/>
      <c r="Y161" s="4"/>
      <c r="Z161" s="4"/>
    </row>
    <row r="162" ht="15.75" customHeight="1" spans="1:26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4"/>
      <c r="Y162" s="4"/>
      <c r="Z162" s="4"/>
    </row>
    <row r="163" ht="15.75" customHeight="1" spans="1:26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4"/>
      <c r="Y163" s="4"/>
      <c r="Z163" s="4"/>
    </row>
    <row r="164" ht="15.75" customHeight="1" spans="1:26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4"/>
      <c r="Y164" s="4"/>
      <c r="Z164" s="4"/>
    </row>
    <row r="165" ht="15.75" customHeight="1" spans="1:26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4"/>
      <c r="Y165" s="4"/>
      <c r="Z165" s="4"/>
    </row>
    <row r="166" ht="15.75" customHeight="1" spans="1:2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4"/>
      <c r="Y166" s="4"/>
      <c r="Z166" s="4"/>
    </row>
    <row r="167" ht="15.75" customHeight="1" spans="1:26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4"/>
      <c r="Y167" s="4"/>
      <c r="Z167" s="4"/>
    </row>
    <row r="168" ht="15.75" customHeight="1" spans="1:26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4"/>
      <c r="Y168" s="4"/>
      <c r="Z168" s="4"/>
    </row>
    <row r="169" ht="15.75" customHeight="1" spans="1:26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4"/>
      <c r="Y169" s="4"/>
      <c r="Z169" s="4"/>
    </row>
    <row r="170" ht="15.75" customHeight="1" spans="1:26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4"/>
      <c r="Y170" s="4"/>
      <c r="Z170" s="4"/>
    </row>
    <row r="171" ht="15.75" customHeight="1" spans="1:26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4"/>
      <c r="Y171" s="4"/>
      <c r="Z171" s="4"/>
    </row>
    <row r="172" ht="15.75" customHeight="1" spans="1:26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4"/>
      <c r="Y172" s="4"/>
      <c r="Z172" s="4"/>
    </row>
    <row r="173" ht="15.75" customHeight="1" spans="1:26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4"/>
      <c r="Y173" s="4"/>
      <c r="Z173" s="4"/>
    </row>
    <row r="174" ht="15.75" customHeight="1" spans="1:26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4"/>
      <c r="Y174" s="4"/>
      <c r="Z174" s="4"/>
    </row>
    <row r="175" ht="15.75" customHeight="1" spans="1:26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4"/>
      <c r="Y175" s="4"/>
      <c r="Z175" s="4"/>
    </row>
    <row r="176" ht="15.75" customHeight="1" spans="1:2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4"/>
      <c r="Y176" s="4"/>
      <c r="Z176" s="4"/>
    </row>
    <row r="177" ht="15.75" customHeight="1" spans="1:26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4"/>
      <c r="Y177" s="4"/>
      <c r="Z177" s="4"/>
    </row>
    <row r="178" ht="15.75" customHeight="1" spans="1:26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4"/>
      <c r="Y178" s="4"/>
      <c r="Z178" s="4"/>
    </row>
    <row r="179" ht="15.75" customHeight="1" spans="1:26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4"/>
      <c r="Y179" s="4"/>
      <c r="Z179" s="4"/>
    </row>
    <row r="180" ht="15.75" customHeight="1" spans="1:26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4"/>
      <c r="Y180" s="4"/>
      <c r="Z180" s="4"/>
    </row>
    <row r="181" ht="15.75" customHeight="1" spans="1:26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4"/>
      <c r="Y181" s="4"/>
      <c r="Z181" s="4"/>
    </row>
    <row r="182" ht="15.75" customHeight="1" spans="1:26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4"/>
      <c r="Y182" s="4"/>
      <c r="Z182" s="4"/>
    </row>
    <row r="183" ht="15.75" customHeight="1" spans="1:26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4"/>
      <c r="Y183" s="4"/>
      <c r="Z183" s="4"/>
    </row>
    <row r="184" ht="15.75" customHeight="1" spans="1:26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4"/>
      <c r="Y184" s="4"/>
      <c r="Z184" s="4"/>
    </row>
    <row r="185" ht="15.75" customHeight="1" spans="1:26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4"/>
      <c r="Y185" s="4"/>
      <c r="Z185" s="4"/>
    </row>
    <row r="186" ht="15.75" customHeight="1" spans="1:2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4"/>
      <c r="Y186" s="4"/>
      <c r="Z186" s="4"/>
    </row>
    <row r="187" ht="15.75" customHeight="1" spans="1:26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4"/>
      <c r="Y187" s="4"/>
      <c r="Z187" s="4"/>
    </row>
    <row r="188" ht="15.75" customHeight="1" spans="1:26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4"/>
      <c r="Y188" s="4"/>
      <c r="Z188" s="4"/>
    </row>
    <row r="189" ht="15.75" customHeight="1" spans="1:26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4"/>
      <c r="Y189" s="4"/>
      <c r="Z189" s="4"/>
    </row>
    <row r="190" ht="15.75" customHeight="1" spans="1:26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4"/>
      <c r="Y190" s="4"/>
      <c r="Z190" s="4"/>
    </row>
    <row r="191" ht="15.75" customHeight="1" spans="1:26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4"/>
      <c r="Y191" s="4"/>
      <c r="Z191" s="4"/>
    </row>
    <row r="192" ht="15.75" customHeight="1" spans="1:26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4"/>
      <c r="Y192" s="4"/>
      <c r="Z192" s="4"/>
    </row>
    <row r="193" ht="15.75" customHeight="1" spans="1:26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4"/>
      <c r="Y193" s="4"/>
      <c r="Z193" s="4"/>
    </row>
    <row r="194" ht="15.75" customHeight="1" spans="1:26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4"/>
      <c r="Y194" s="4"/>
      <c r="Z194" s="4"/>
    </row>
    <row r="195" ht="15.75" customHeight="1" spans="1:26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4"/>
      <c r="Y195" s="4"/>
      <c r="Z195" s="4"/>
    </row>
    <row r="196" ht="15.75" customHeight="1" spans="1:2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4"/>
      <c r="Y196" s="4"/>
      <c r="Z196" s="4"/>
    </row>
    <row r="197" ht="15.75" customHeight="1" spans="1:26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4"/>
      <c r="Y197" s="4"/>
      <c r="Z197" s="4"/>
    </row>
    <row r="198" ht="15.75" customHeight="1" spans="1:26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4"/>
      <c r="Y198" s="4"/>
      <c r="Z198" s="4"/>
    </row>
    <row r="199" ht="15.75" customHeight="1" spans="1:26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4"/>
      <c r="Y199" s="4"/>
      <c r="Z199" s="4"/>
    </row>
    <row r="200" ht="15.75" customHeight="1" spans="1:26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4"/>
      <c r="Y200" s="4"/>
      <c r="Z200" s="4"/>
    </row>
    <row r="201" ht="15.75" customHeight="1" spans="1:26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4"/>
      <c r="Y201" s="4"/>
      <c r="Z201" s="4"/>
    </row>
    <row r="202" ht="15.75" customHeight="1" spans="1:26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4"/>
      <c r="Y202" s="4"/>
      <c r="Z202" s="4"/>
    </row>
    <row r="203" ht="15.75" customHeight="1" spans="1:26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4"/>
      <c r="Y203" s="4"/>
      <c r="Z203" s="4"/>
    </row>
    <row r="204" ht="15.75" customHeight="1" spans="1:26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4"/>
      <c r="Y204" s="4"/>
      <c r="Z204" s="4"/>
    </row>
    <row r="205" ht="15.75" customHeight="1" spans="1:26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4"/>
      <c r="Y205" s="4"/>
      <c r="Z205" s="4"/>
    </row>
    <row r="206" ht="15.75" customHeight="1" spans="1:2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4"/>
      <c r="Y206" s="4"/>
      <c r="Z206" s="4"/>
    </row>
    <row r="207" ht="15.75" customHeight="1" spans="1:26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4"/>
      <c r="Y207" s="4"/>
      <c r="Z207" s="4"/>
    </row>
    <row r="208" ht="15.75" customHeight="1" spans="1:26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4"/>
      <c r="Y208" s="4"/>
      <c r="Z208" s="4"/>
    </row>
    <row r="209" ht="15.75" customHeight="1" spans="1:26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4"/>
      <c r="Y209" s="4"/>
      <c r="Z209" s="4"/>
    </row>
    <row r="210" ht="15.75" customHeight="1" spans="1:26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4"/>
      <c r="Y210" s="4"/>
      <c r="Z210" s="4"/>
    </row>
    <row r="211" ht="15.75" customHeight="1" spans="1:26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4"/>
      <c r="Y211" s="4"/>
      <c r="Z211" s="4"/>
    </row>
    <row r="212" ht="15.75" customHeight="1" spans="1:26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4"/>
      <c r="Y212" s="4"/>
      <c r="Z212" s="4"/>
    </row>
    <row r="213" ht="15.75" customHeight="1" spans="1:26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4"/>
      <c r="Y213" s="4"/>
      <c r="Z213" s="4"/>
    </row>
    <row r="214" ht="15.75" customHeight="1" spans="1:26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4"/>
      <c r="Y214" s="4"/>
      <c r="Z214" s="4"/>
    </row>
    <row r="215" ht="15.75" customHeight="1" spans="1:26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4"/>
      <c r="Y215" s="4"/>
      <c r="Z215" s="4"/>
    </row>
    <row r="216" ht="15.75" customHeight="1" spans="1:2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4"/>
      <c r="Y216" s="4"/>
      <c r="Z216" s="4"/>
    </row>
    <row r="217" ht="15.75" customHeight="1" spans="1:26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4"/>
      <c r="Y217" s="4"/>
      <c r="Z217" s="4"/>
    </row>
    <row r="218" ht="15.75" customHeight="1" spans="1:26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4"/>
      <c r="Y218" s="4"/>
      <c r="Z218" s="4"/>
    </row>
    <row r="219" ht="15.75" customHeight="1" spans="1:26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4"/>
      <c r="Y219" s="4"/>
      <c r="Z219" s="4"/>
    </row>
    <row r="220" ht="15.75" customHeight="1" spans="1:26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4"/>
      <c r="Y220" s="4"/>
      <c r="Z220" s="4"/>
    </row>
    <row r="221" ht="15.75" customHeight="1" spans="1:26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4"/>
      <c r="Y221" s="4"/>
      <c r="Z221" s="4"/>
    </row>
    <row r="222" ht="15.75" customHeight="1" spans="1:26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4"/>
      <c r="Y222" s="4"/>
      <c r="Z222" s="4"/>
    </row>
    <row r="223" ht="15.75" customHeight="1" spans="1:26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4"/>
      <c r="Y223" s="4"/>
      <c r="Z223" s="4"/>
    </row>
    <row r="224" ht="15.75" customHeight="1" spans="1:26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4"/>
      <c r="Y224" s="4"/>
      <c r="Z224" s="4"/>
    </row>
    <row r="225" ht="15.75" customHeight="1" spans="1:26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4"/>
      <c r="Y225" s="4"/>
      <c r="Z225" s="4"/>
    </row>
    <row r="226" ht="15.75" customHeight="1" spans="1: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4"/>
      <c r="Y226" s="4"/>
      <c r="Z226" s="4"/>
    </row>
    <row r="227" ht="15.75" customHeight="1" spans="1:26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4"/>
      <c r="Y227" s="4"/>
      <c r="Z227" s="4"/>
    </row>
    <row r="228" ht="15.75" customHeight="1" spans="1:26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4"/>
      <c r="Y228" s="4"/>
      <c r="Z228" s="4"/>
    </row>
    <row r="229" ht="15.75" customHeight="1" spans="1:26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4"/>
      <c r="Y229" s="4"/>
      <c r="Z229" s="4"/>
    </row>
    <row r="230" ht="15.75" customHeight="1" spans="1:26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4"/>
      <c r="Y230" s="4"/>
      <c r="Z230" s="4"/>
    </row>
    <row r="231" ht="15.75" customHeight="1" spans="1:26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4"/>
      <c r="Y231" s="4"/>
      <c r="Z231" s="4"/>
    </row>
    <row r="232" ht="15.75" customHeight="1" spans="1:26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4"/>
      <c r="Y232" s="4"/>
      <c r="Z232" s="4"/>
    </row>
    <row r="233" ht="15.75" customHeight="1" spans="1:26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4"/>
      <c r="Y233" s="4"/>
      <c r="Z233" s="4"/>
    </row>
    <row r="234" ht="15.75" customHeight="1" spans="1:26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4"/>
      <c r="Y234" s="4"/>
      <c r="Z234" s="4"/>
    </row>
    <row r="235" ht="15.75" customHeight="1" spans="1:26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4"/>
      <c r="Y235" s="4"/>
      <c r="Z235" s="4"/>
    </row>
    <row r="236" ht="15.75" customHeight="1" spans="1:2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4"/>
      <c r="Y236" s="4"/>
      <c r="Z236" s="4"/>
    </row>
    <row r="237" ht="15.75" customHeight="1" spans="1:26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4"/>
      <c r="Y237" s="4"/>
      <c r="Z237" s="4"/>
    </row>
    <row r="238" ht="15.75" customHeight="1" spans="1:26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4"/>
      <c r="Y238" s="4"/>
      <c r="Z238" s="4"/>
    </row>
    <row r="239" ht="15.75" customHeight="1" spans="1:26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4"/>
      <c r="Y239" s="4"/>
      <c r="Z239" s="4"/>
    </row>
    <row r="240" ht="15.75" customHeight="1" spans="1:26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4"/>
      <c r="Y240" s="4"/>
      <c r="Z240" s="4"/>
    </row>
    <row r="241" ht="15.75" customHeight="1" spans="1:26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4"/>
      <c r="Y241" s="4"/>
      <c r="Z241" s="4"/>
    </row>
    <row r="242" ht="15.75" customHeight="1" spans="1:26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4"/>
      <c r="Y242" s="4"/>
      <c r="Z242" s="4"/>
    </row>
    <row r="243" ht="15.75" customHeight="1" spans="1:26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4"/>
      <c r="Y243" s="4"/>
      <c r="Z243" s="4"/>
    </row>
    <row r="244" ht="15.75" customHeight="1" spans="1:26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4"/>
      <c r="Y244" s="4"/>
      <c r="Z244" s="4"/>
    </row>
    <row r="245" ht="15.75" customHeight="1" spans="1:26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4"/>
      <c r="Y245" s="4"/>
      <c r="Z245" s="4"/>
    </row>
    <row r="246" ht="15.75" customHeight="1" spans="1:2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4"/>
      <c r="Y246" s="4"/>
      <c r="Z246" s="4"/>
    </row>
    <row r="247" ht="15.75" customHeight="1" spans="1:26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4"/>
      <c r="Y247" s="4"/>
      <c r="Z247" s="4"/>
    </row>
    <row r="248" ht="15.75" customHeight="1" spans="1:26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4"/>
      <c r="Y248" s="4"/>
      <c r="Z248" s="4"/>
    </row>
    <row r="249" ht="15.75" customHeight="1" spans="1:26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4"/>
      <c r="Y249" s="4"/>
      <c r="Z249" s="4"/>
    </row>
    <row r="250" ht="15.75" customHeight="1" spans="1:2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4"/>
      <c r="Y250" s="4"/>
      <c r="Z250" s="4"/>
    </row>
    <row r="251" ht="15.75" customHeight="1" spans="1:2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4"/>
      <c r="Y251" s="4"/>
      <c r="Z251" s="4"/>
    </row>
    <row r="252" ht="15.75" customHeight="1" spans="1:2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4"/>
      <c r="Y252" s="4"/>
      <c r="Z252" s="4"/>
    </row>
    <row r="253" ht="15.75" customHeight="1" spans="1:2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4"/>
      <c r="Y253" s="4"/>
      <c r="Z253" s="4"/>
    </row>
    <row r="254" ht="15.75" customHeight="1" spans="1:2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4"/>
      <c r="Y254" s="4"/>
      <c r="Z254" s="4"/>
    </row>
    <row r="255" ht="15.75" customHeight="1" spans="1:2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4"/>
      <c r="Y255" s="4"/>
      <c r="Z255" s="4"/>
    </row>
    <row r="256" ht="15.75" customHeight="1" spans="1:2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4"/>
      <c r="Y256" s="4"/>
      <c r="Z256" s="4"/>
    </row>
    <row r="257" ht="15.75" customHeight="1" spans="1:2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4"/>
      <c r="Y257" s="4"/>
      <c r="Z257" s="4"/>
    </row>
    <row r="258" ht="15.75" customHeight="1" spans="1:2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4"/>
      <c r="Y258" s="4"/>
      <c r="Z258" s="4"/>
    </row>
    <row r="259" ht="15.75" customHeight="1" spans="1:2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4"/>
      <c r="Y259" s="4"/>
      <c r="Z259" s="4"/>
    </row>
    <row r="260" ht="15.75" customHeight="1" spans="1:2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4"/>
      <c r="Y260" s="4"/>
      <c r="Z260" s="4"/>
    </row>
    <row r="261" ht="15.75" customHeight="1" spans="1:2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4"/>
      <c r="Y261" s="4"/>
      <c r="Z261" s="4"/>
    </row>
    <row r="262" ht="15.75" customHeight="1" spans="1:2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4"/>
      <c r="Y262" s="4"/>
      <c r="Z262" s="4"/>
    </row>
    <row r="263" ht="15.75" customHeight="1" spans="1:2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4"/>
      <c r="Y263" s="4"/>
      <c r="Z263" s="4"/>
    </row>
    <row r="264" ht="15.75" customHeight="1" spans="1:2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4"/>
      <c r="Y264" s="4"/>
      <c r="Z264" s="4"/>
    </row>
    <row r="265" ht="15.75" customHeight="1" spans="1:2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4"/>
      <c r="Y265" s="4"/>
      <c r="Z265" s="4"/>
    </row>
    <row r="266" ht="15.75" customHeight="1" spans="1:2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4"/>
      <c r="Y266" s="4"/>
      <c r="Z266" s="4"/>
    </row>
    <row r="267" ht="15.75" customHeight="1" spans="1:26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4"/>
      <c r="Y267" s="4"/>
      <c r="Z267" s="4"/>
    </row>
    <row r="268" ht="15.75" customHeight="1" spans="1:26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4"/>
      <c r="Y268" s="4"/>
      <c r="Z268" s="4"/>
    </row>
    <row r="269" ht="15.75" customHeight="1" spans="1:26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4"/>
      <c r="Y269" s="4"/>
      <c r="Z269" s="4"/>
    </row>
    <row r="270" ht="15.75" customHeight="1" spans="1:26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4"/>
      <c r="Y270" s="4"/>
      <c r="Z270" s="4"/>
    </row>
    <row r="271" ht="15.75" customHeight="1" spans="1:26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4"/>
      <c r="Y271" s="4"/>
      <c r="Z271" s="4"/>
    </row>
    <row r="272" ht="15.75" customHeight="1" spans="1:26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4"/>
      <c r="Y272" s="4"/>
      <c r="Z272" s="4"/>
    </row>
    <row r="273" ht="15.75" customHeight="1" spans="1:26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4"/>
      <c r="Y273" s="4"/>
      <c r="Z273" s="4"/>
    </row>
    <row r="274" ht="15.75" customHeight="1" spans="1:26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4"/>
      <c r="Y274" s="4"/>
      <c r="Z274" s="4"/>
    </row>
    <row r="275" ht="15.75" customHeight="1" spans="1:26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4"/>
      <c r="Y275" s="4"/>
      <c r="Z275" s="4"/>
    </row>
    <row r="276" ht="15.75" customHeight="1" spans="1:2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4"/>
      <c r="Y276" s="4"/>
      <c r="Z276" s="4"/>
    </row>
    <row r="277" ht="15.75" customHeight="1" spans="1:26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4"/>
      <c r="Y277" s="4"/>
      <c r="Z277" s="4"/>
    </row>
    <row r="278" ht="15.75" customHeight="1" spans="1:26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4"/>
      <c r="Y278" s="4"/>
      <c r="Z278" s="4"/>
    </row>
    <row r="279" ht="15.75" customHeight="1" spans="1:26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4"/>
      <c r="Y279" s="4"/>
      <c r="Z279" s="4"/>
    </row>
    <row r="280" ht="15.75" customHeight="1" spans="1:26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4"/>
      <c r="Y280" s="4"/>
      <c r="Z280" s="4"/>
    </row>
    <row r="281" ht="15.75" customHeight="1" spans="1:26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4"/>
      <c r="Y281" s="4"/>
      <c r="Z281" s="4"/>
    </row>
    <row r="282" ht="15.75" customHeight="1" spans="1:26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4"/>
      <c r="Y282" s="4"/>
      <c r="Z282" s="4"/>
    </row>
    <row r="283" ht="15.75" customHeight="1" spans="1:26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4"/>
      <c r="Y283" s="4"/>
      <c r="Z283" s="4"/>
    </row>
    <row r="284" ht="15.75" customHeight="1" spans="1:26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4"/>
      <c r="Y284" s="4"/>
      <c r="Z284" s="4"/>
    </row>
    <row r="285" ht="15.75" customHeight="1" spans="1:26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4"/>
      <c r="Y285" s="4"/>
      <c r="Z285" s="4"/>
    </row>
    <row r="286" ht="15.75" customHeight="1" spans="1:2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4"/>
      <c r="Y286" s="4"/>
      <c r="Z286" s="4"/>
    </row>
    <row r="287" ht="15.75" customHeight="1" spans="1:26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4"/>
      <c r="Y287" s="4"/>
      <c r="Z287" s="4"/>
    </row>
    <row r="288" ht="15.75" customHeight="1" spans="1:26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4"/>
      <c r="Y288" s="4"/>
      <c r="Z288" s="4"/>
    </row>
    <row r="289" ht="15.75" customHeight="1" spans="1:26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4"/>
      <c r="Y289" s="4"/>
      <c r="Z289" s="4"/>
    </row>
    <row r="290" ht="15.75" customHeight="1" spans="1:26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4"/>
      <c r="Y290" s="4"/>
      <c r="Z290" s="4"/>
    </row>
    <row r="291" ht="15.75" customHeight="1" spans="1:26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4"/>
      <c r="Y291" s="4"/>
      <c r="Z291" s="4"/>
    </row>
    <row r="292" ht="15.75" customHeight="1" spans="1:26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4"/>
      <c r="Y292" s="4"/>
      <c r="Z292" s="4"/>
    </row>
    <row r="293" ht="15.75" customHeight="1" spans="1:26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0">
    <mergeCell ref="A1:H1"/>
    <mergeCell ref="A2:H2"/>
    <mergeCell ref="A3:H3"/>
    <mergeCell ref="A4:H4"/>
    <mergeCell ref="D6:H6"/>
    <mergeCell ref="A6:A7"/>
    <mergeCell ref="A8:A9"/>
    <mergeCell ref="A10:A11"/>
    <mergeCell ref="A12:A14"/>
    <mergeCell ref="A15:A17"/>
    <mergeCell ref="A18:A20"/>
    <mergeCell ref="A21:A22"/>
    <mergeCell ref="A23:A25"/>
    <mergeCell ref="A26:A29"/>
    <mergeCell ref="A30:A32"/>
    <mergeCell ref="A33:A35"/>
    <mergeCell ref="A36:A38"/>
    <mergeCell ref="A39:A41"/>
    <mergeCell ref="A42:A46"/>
    <mergeCell ref="A47:A49"/>
    <mergeCell ref="A50:A52"/>
    <mergeCell ref="A53:A55"/>
    <mergeCell ref="A56:A58"/>
    <mergeCell ref="A59:A62"/>
    <mergeCell ref="A63:A65"/>
    <mergeCell ref="A66:A70"/>
    <mergeCell ref="A71:A73"/>
    <mergeCell ref="A74:A75"/>
    <mergeCell ref="A76:A77"/>
    <mergeCell ref="A78:A80"/>
    <mergeCell ref="A81:A83"/>
    <mergeCell ref="A84:A86"/>
    <mergeCell ref="A87:A89"/>
    <mergeCell ref="B6:B7"/>
    <mergeCell ref="B8:B9"/>
    <mergeCell ref="B10:B11"/>
    <mergeCell ref="B12:B14"/>
    <mergeCell ref="B15:B17"/>
    <mergeCell ref="B18:B20"/>
    <mergeCell ref="B21:B22"/>
    <mergeCell ref="B23:B25"/>
    <mergeCell ref="B26:B29"/>
    <mergeCell ref="B30:B32"/>
    <mergeCell ref="B33:B35"/>
    <mergeCell ref="B36:B38"/>
    <mergeCell ref="B39:B41"/>
    <mergeCell ref="B42:B46"/>
    <mergeCell ref="B47:B49"/>
    <mergeCell ref="B50:B52"/>
    <mergeCell ref="B53:B55"/>
    <mergeCell ref="B56:B58"/>
    <mergeCell ref="B59:B62"/>
    <mergeCell ref="B63:B65"/>
    <mergeCell ref="B71:B73"/>
    <mergeCell ref="B74:B75"/>
    <mergeCell ref="B76:B77"/>
    <mergeCell ref="B78:B80"/>
    <mergeCell ref="B81:B83"/>
    <mergeCell ref="B84:B86"/>
    <mergeCell ref="B87:B89"/>
    <mergeCell ref="C6:C7"/>
    <mergeCell ref="G8:G9"/>
    <mergeCell ref="G10:G11"/>
    <mergeCell ref="G12:G14"/>
    <mergeCell ref="G15:G17"/>
    <mergeCell ref="G18:G20"/>
    <mergeCell ref="G21:G22"/>
    <mergeCell ref="G23:G25"/>
    <mergeCell ref="G26:G29"/>
    <mergeCell ref="G30:G32"/>
    <mergeCell ref="G33:G35"/>
    <mergeCell ref="G36:G38"/>
    <mergeCell ref="G39:G41"/>
    <mergeCell ref="G42:G46"/>
    <mergeCell ref="G47:G49"/>
    <mergeCell ref="G50:G52"/>
    <mergeCell ref="G53:G55"/>
    <mergeCell ref="G56:G58"/>
    <mergeCell ref="G59:G62"/>
    <mergeCell ref="G63:G65"/>
    <mergeCell ref="G66:G70"/>
    <mergeCell ref="G71:G73"/>
    <mergeCell ref="G74:G75"/>
    <mergeCell ref="H8:H9"/>
    <mergeCell ref="H10:H11"/>
    <mergeCell ref="H12:H14"/>
    <mergeCell ref="H15:H17"/>
    <mergeCell ref="H18:H20"/>
    <mergeCell ref="H21:H22"/>
    <mergeCell ref="H23:H25"/>
    <mergeCell ref="H26:H29"/>
    <mergeCell ref="H30:H32"/>
    <mergeCell ref="H33:H35"/>
    <mergeCell ref="H36:H38"/>
    <mergeCell ref="H39:H41"/>
    <mergeCell ref="H42:H46"/>
    <mergeCell ref="H47:H49"/>
    <mergeCell ref="H50:H52"/>
    <mergeCell ref="H53:H55"/>
    <mergeCell ref="H56:H58"/>
    <mergeCell ref="H59:H62"/>
    <mergeCell ref="H63:H65"/>
    <mergeCell ref="H66:H70"/>
    <mergeCell ref="H71:H73"/>
    <mergeCell ref="H74:H75"/>
    <mergeCell ref="H76:H77"/>
    <mergeCell ref="H78:H80"/>
    <mergeCell ref="H81:H83"/>
    <mergeCell ref="H84:H86"/>
    <mergeCell ref="H87:H89"/>
  </mergeCells>
  <pageMargins left="1.02391313839929" right="0.7" top="0.75" bottom="0.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H1"/>
    </sheetView>
  </sheetViews>
  <sheetFormatPr defaultColWidth="14.4259259259259" defaultRowHeight="15" customHeight="1"/>
  <cols>
    <col min="1" max="1" width="5.57407407407407" customWidth="1"/>
    <col min="2" max="2" width="21.1388888888889" customWidth="1"/>
    <col min="3" max="3" width="16.8518518518519" customWidth="1"/>
    <col min="4" max="4" width="8.71296296296296" customWidth="1"/>
    <col min="5" max="5" width="9.85185185185185" customWidth="1"/>
    <col min="6" max="6" width="5.85185185185185" customWidth="1"/>
    <col min="7" max="7" width="7" customWidth="1"/>
    <col min="8" max="8" width="8.13888888888889" customWidth="1"/>
    <col min="9" max="23" width="8.85185185185185" customWidth="1"/>
  </cols>
  <sheetData>
    <row r="1" customHeight="1" spans="1:26">
      <c r="A1" s="1" t="s">
        <v>103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4"/>
      <c r="Y1" s="4"/>
      <c r="Z1" s="4"/>
    </row>
    <row r="2" ht="17.4" spans="1:26">
      <c r="A2" s="2" t="s">
        <v>104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4"/>
      <c r="Y2" s="4"/>
      <c r="Z2" s="4"/>
    </row>
    <row r="3" ht="17.4" spans="1:26">
      <c r="A3" s="2" t="s">
        <v>105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4"/>
      <c r="Y3" s="4"/>
      <c r="Z3" s="4"/>
    </row>
    <row r="4" customHeight="1" spans="1:26">
      <c r="A4" s="3" t="s">
        <v>106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4"/>
      <c r="Y4" s="4"/>
      <c r="Z4" s="4"/>
    </row>
    <row r="5" customHeight="1" spans="1:26">
      <c r="A5" s="3"/>
      <c r="B5" s="3"/>
      <c r="C5" s="3"/>
      <c r="D5" s="3"/>
      <c r="E5" s="3"/>
      <c r="F5" s="3"/>
      <c r="G5" s="3"/>
      <c r="H5" s="3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4"/>
      <c r="Y5" s="4"/>
      <c r="Z5" s="4"/>
    </row>
    <row r="6" ht="21.75" customHeight="1" spans="1:26">
      <c r="A6" s="13" t="s">
        <v>2</v>
      </c>
      <c r="B6" s="14" t="s">
        <v>107</v>
      </c>
      <c r="C6" s="14" t="s">
        <v>3</v>
      </c>
      <c r="D6" s="7" t="s">
        <v>76</v>
      </c>
      <c r="E6" s="8"/>
      <c r="F6" s="8"/>
      <c r="G6" s="8"/>
      <c r="H6" s="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4"/>
      <c r="Y6" s="4"/>
      <c r="Z6" s="4"/>
    </row>
    <row r="7" ht="28.5" customHeight="1" spans="1:26">
      <c r="A7" s="29"/>
      <c r="B7" s="29"/>
      <c r="C7" s="29"/>
      <c r="D7" s="11" t="s">
        <v>6</v>
      </c>
      <c r="E7" s="11" t="s">
        <v>9</v>
      </c>
      <c r="F7" s="11" t="s">
        <v>108</v>
      </c>
      <c r="G7" s="11" t="s">
        <v>109</v>
      </c>
      <c r="H7" s="12" t="s">
        <v>8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4"/>
      <c r="Y7" s="4"/>
      <c r="Z7" s="4"/>
    </row>
    <row r="8" ht="14.25" customHeight="1" spans="1:26">
      <c r="A8" s="19">
        <v>1</v>
      </c>
      <c r="B8" s="30" t="s">
        <v>110</v>
      </c>
      <c r="C8" s="18" t="s">
        <v>111</v>
      </c>
      <c r="D8" s="18">
        <v>3</v>
      </c>
      <c r="E8" s="18"/>
      <c r="F8" s="18"/>
      <c r="G8" s="19">
        <v>2</v>
      </c>
      <c r="H8" s="19">
        <f>SUM(D8:G9)</f>
        <v>13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4"/>
      <c r="Y8" s="4"/>
      <c r="Z8" s="4"/>
    </row>
    <row r="9" ht="14.25" customHeight="1" spans="1:26">
      <c r="A9" s="29"/>
      <c r="B9" s="29"/>
      <c r="C9" s="18" t="s">
        <v>113</v>
      </c>
      <c r="D9" s="18"/>
      <c r="E9" s="18">
        <v>8</v>
      </c>
      <c r="F9" s="18"/>
      <c r="G9" s="29"/>
      <c r="H9" s="29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4"/>
      <c r="Y9" s="4"/>
      <c r="Z9" s="4"/>
    </row>
    <row r="10" ht="14.25" customHeight="1" spans="1:26">
      <c r="A10" s="19">
        <v>2</v>
      </c>
      <c r="B10" s="30" t="s">
        <v>115</v>
      </c>
      <c r="C10" s="18" t="s">
        <v>116</v>
      </c>
      <c r="D10" s="18">
        <v>4</v>
      </c>
      <c r="E10" s="18">
        <v>8</v>
      </c>
      <c r="F10" s="18"/>
      <c r="G10" s="19">
        <v>2</v>
      </c>
      <c r="H10" s="19">
        <f>SUM(D10:G11)</f>
        <v>14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4"/>
      <c r="Y10" s="4"/>
      <c r="Z10" s="4"/>
    </row>
    <row r="11" ht="14.25" customHeight="1" spans="1:26">
      <c r="A11" s="29"/>
      <c r="B11" s="29"/>
      <c r="C11" s="18"/>
      <c r="D11" s="18"/>
      <c r="E11" s="18"/>
      <c r="F11" s="18"/>
      <c r="G11" s="29"/>
      <c r="H11" s="29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4"/>
      <c r="Y11" s="4"/>
      <c r="Z11" s="4"/>
    </row>
    <row r="12" ht="14.25" customHeight="1" spans="1:26">
      <c r="A12" s="19">
        <v>3</v>
      </c>
      <c r="B12" s="30" t="s">
        <v>119</v>
      </c>
      <c r="C12" s="31" t="s">
        <v>120</v>
      </c>
      <c r="D12" s="31">
        <v>4</v>
      </c>
      <c r="E12" s="31">
        <v>8</v>
      </c>
      <c r="F12" s="31"/>
      <c r="G12" s="19">
        <v>2</v>
      </c>
      <c r="H12" s="19">
        <f>SUM(D12:G14)</f>
        <v>18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4"/>
      <c r="Y12" s="4"/>
      <c r="Z12" s="4"/>
    </row>
    <row r="13" ht="14.25" customHeight="1" spans="1:26">
      <c r="A13" s="32"/>
      <c r="B13" s="32"/>
      <c r="C13" s="31" t="s">
        <v>113</v>
      </c>
      <c r="D13" s="18"/>
      <c r="E13" s="31">
        <v>4</v>
      </c>
      <c r="F13" s="31"/>
      <c r="G13" s="32"/>
      <c r="H13" s="32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4"/>
      <c r="Y13" s="4"/>
      <c r="Z13" s="4"/>
    </row>
    <row r="14" ht="14.25" customHeight="1" spans="1:26">
      <c r="A14" s="29"/>
      <c r="B14" s="29"/>
      <c r="C14" s="18"/>
      <c r="D14" s="18"/>
      <c r="E14" s="18"/>
      <c r="F14" s="18"/>
      <c r="G14" s="29"/>
      <c r="H14" s="29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4"/>
      <c r="Y14" s="4"/>
      <c r="Z14" s="4"/>
    </row>
    <row r="15" ht="14.25" customHeight="1" spans="1:26">
      <c r="A15" s="19">
        <v>4</v>
      </c>
      <c r="B15" s="30" t="s">
        <v>124</v>
      </c>
      <c r="C15" s="18" t="s">
        <v>125</v>
      </c>
      <c r="D15" s="18">
        <v>3</v>
      </c>
      <c r="E15" s="18">
        <v>8</v>
      </c>
      <c r="F15" s="18"/>
      <c r="G15" s="19">
        <v>2</v>
      </c>
      <c r="H15" s="19">
        <f>SUM(D15:G17)</f>
        <v>18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4"/>
      <c r="Y15" s="4"/>
      <c r="Z15" s="4"/>
    </row>
    <row r="16" ht="14.25" customHeight="1" spans="1:26">
      <c r="A16" s="32"/>
      <c r="B16" s="32"/>
      <c r="C16" s="18" t="s">
        <v>127</v>
      </c>
      <c r="D16" s="18">
        <v>1</v>
      </c>
      <c r="E16" s="18"/>
      <c r="F16" s="18"/>
      <c r="G16" s="32"/>
      <c r="H16" s="32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4"/>
      <c r="Y16" s="4"/>
      <c r="Z16" s="4"/>
    </row>
    <row r="17" ht="14.25" customHeight="1" spans="1:26">
      <c r="A17" s="29"/>
      <c r="B17" s="29"/>
      <c r="C17" s="18" t="s">
        <v>147</v>
      </c>
      <c r="D17" s="18"/>
      <c r="E17" s="18">
        <v>4</v>
      </c>
      <c r="F17" s="18"/>
      <c r="G17" s="29"/>
      <c r="H17" s="29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4"/>
      <c r="Y17" s="4"/>
      <c r="Z17" s="4"/>
    </row>
    <row r="18" ht="14.25" customHeight="1" spans="1:26">
      <c r="A18" s="20">
        <v>5</v>
      </c>
      <c r="B18" s="33" t="s">
        <v>130</v>
      </c>
      <c r="C18" s="31" t="s">
        <v>131</v>
      </c>
      <c r="D18" s="31">
        <v>3</v>
      </c>
      <c r="E18" s="31"/>
      <c r="F18" s="31"/>
      <c r="G18" s="20">
        <v>2</v>
      </c>
      <c r="H18" s="19">
        <f>SUM(D18:G20)</f>
        <v>18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4"/>
      <c r="Y18" s="4"/>
      <c r="Z18" s="4"/>
    </row>
    <row r="19" ht="14.25" customHeight="1" spans="1:26">
      <c r="A19" s="32"/>
      <c r="B19" s="32"/>
      <c r="C19" s="31" t="s">
        <v>133</v>
      </c>
      <c r="D19" s="18">
        <v>1</v>
      </c>
      <c r="E19" s="31"/>
      <c r="F19" s="31"/>
      <c r="G19" s="32"/>
      <c r="H19" s="32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4"/>
      <c r="Y19" s="4"/>
      <c r="Z19" s="4"/>
    </row>
    <row r="20" ht="14.25" customHeight="1" spans="1:26">
      <c r="A20" s="29"/>
      <c r="B20" s="29"/>
      <c r="C20" s="31" t="s">
        <v>135</v>
      </c>
      <c r="D20" s="18"/>
      <c r="E20" s="31">
        <v>12</v>
      </c>
      <c r="F20" s="31"/>
      <c r="G20" s="29"/>
      <c r="H20" s="29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4"/>
      <c r="Y20" s="4"/>
      <c r="Z20" s="4"/>
    </row>
    <row r="21" ht="14.25" customHeight="1" spans="1:26">
      <c r="A21" s="19">
        <v>6</v>
      </c>
      <c r="B21" s="30" t="s">
        <v>137</v>
      </c>
      <c r="C21" s="31" t="s">
        <v>138</v>
      </c>
      <c r="D21" s="18">
        <v>4</v>
      </c>
      <c r="E21" s="31">
        <v>8</v>
      </c>
      <c r="F21" s="31"/>
      <c r="G21" s="20">
        <v>2</v>
      </c>
      <c r="H21" s="19">
        <f>SUM(D21:G22)</f>
        <v>18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4"/>
      <c r="Y21" s="4"/>
      <c r="Z21" s="4"/>
    </row>
    <row r="22" ht="14.25" customHeight="1" spans="1:26">
      <c r="A22" s="29"/>
      <c r="B22" s="29"/>
      <c r="C22" s="31" t="s">
        <v>140</v>
      </c>
      <c r="D22" s="18"/>
      <c r="E22" s="31">
        <v>4</v>
      </c>
      <c r="F22" s="31"/>
      <c r="G22" s="29"/>
      <c r="H22" s="29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4"/>
      <c r="Y22" s="4"/>
      <c r="Z22" s="4"/>
    </row>
    <row r="23" ht="14.25" customHeight="1" spans="1:26">
      <c r="A23" s="19">
        <v>7</v>
      </c>
      <c r="B23" s="30" t="s">
        <v>142</v>
      </c>
      <c r="C23" s="31" t="s">
        <v>143</v>
      </c>
      <c r="D23" s="31">
        <v>4</v>
      </c>
      <c r="E23" s="31"/>
      <c r="F23" s="31"/>
      <c r="G23" s="19">
        <v>2</v>
      </c>
      <c r="H23" s="19">
        <f>SUM(D23:G25)</f>
        <v>18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4"/>
      <c r="Y23" s="4"/>
      <c r="Z23" s="4"/>
    </row>
    <row r="24" ht="14.25" customHeight="1" spans="1:26">
      <c r="A24" s="32"/>
      <c r="B24" s="32"/>
      <c r="C24" s="31" t="s">
        <v>145</v>
      </c>
      <c r="D24" s="31"/>
      <c r="E24" s="31">
        <v>8</v>
      </c>
      <c r="F24" s="31"/>
      <c r="G24" s="32"/>
      <c r="H24" s="32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4"/>
      <c r="Y24" s="4"/>
      <c r="Z24" s="4"/>
    </row>
    <row r="25" ht="14.25" customHeight="1" spans="1:26">
      <c r="A25" s="29"/>
      <c r="B25" s="29"/>
      <c r="C25" s="31" t="s">
        <v>147</v>
      </c>
      <c r="D25" s="31"/>
      <c r="E25" s="31">
        <v>4</v>
      </c>
      <c r="F25" s="31"/>
      <c r="G25" s="29"/>
      <c r="H25" s="29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4"/>
      <c r="Y25" s="4"/>
      <c r="Z25" s="4"/>
    </row>
    <row r="26" ht="14.25" customHeight="1" spans="1:26">
      <c r="A26" s="19">
        <v>8</v>
      </c>
      <c r="B26" s="30" t="s">
        <v>149</v>
      </c>
      <c r="C26" s="31" t="s">
        <v>150</v>
      </c>
      <c r="D26" s="31">
        <v>4</v>
      </c>
      <c r="E26" s="18"/>
      <c r="F26" s="18"/>
      <c r="G26" s="19">
        <v>2</v>
      </c>
      <c r="H26" s="19">
        <f>SUM(D26:G29)</f>
        <v>23</v>
      </c>
      <c r="I26" s="37"/>
      <c r="J26" s="4"/>
      <c r="K26" s="4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4"/>
      <c r="Y26" s="4"/>
      <c r="Z26" s="4"/>
    </row>
    <row r="27" ht="14.25" customHeight="1" spans="1:26">
      <c r="A27" s="32"/>
      <c r="B27" s="32"/>
      <c r="C27" s="18" t="s">
        <v>152</v>
      </c>
      <c r="D27" s="18">
        <v>3</v>
      </c>
      <c r="E27" s="18"/>
      <c r="F27" s="18"/>
      <c r="G27" s="32"/>
      <c r="H27" s="32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4"/>
      <c r="Y27" s="4"/>
      <c r="Z27" s="4"/>
    </row>
    <row r="28" ht="14.25" customHeight="1" spans="1:26">
      <c r="A28" s="32"/>
      <c r="B28" s="32"/>
      <c r="C28" s="18" t="s">
        <v>154</v>
      </c>
      <c r="D28" s="18"/>
      <c r="E28" s="18">
        <v>6</v>
      </c>
      <c r="F28" s="18"/>
      <c r="G28" s="32"/>
      <c r="H28" s="32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4"/>
      <c r="Y28" s="4"/>
      <c r="Z28" s="4"/>
    </row>
    <row r="29" ht="14.25" customHeight="1" spans="1:26">
      <c r="A29" s="29"/>
      <c r="B29" s="29"/>
      <c r="C29" s="18" t="s">
        <v>113</v>
      </c>
      <c r="D29" s="18"/>
      <c r="E29" s="18">
        <v>8</v>
      </c>
      <c r="F29" s="18"/>
      <c r="G29" s="29"/>
      <c r="H29" s="29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4"/>
      <c r="Y29" s="4"/>
      <c r="Z29" s="4"/>
    </row>
    <row r="30" ht="14.25" customHeight="1" spans="1:26">
      <c r="A30" s="19">
        <v>9</v>
      </c>
      <c r="B30" s="30" t="s">
        <v>157</v>
      </c>
      <c r="C30" s="18" t="s">
        <v>158</v>
      </c>
      <c r="D30" s="18">
        <v>4</v>
      </c>
      <c r="E30" s="18"/>
      <c r="F30" s="18"/>
      <c r="G30" s="19">
        <v>2</v>
      </c>
      <c r="H30" s="19">
        <f>SUM(D30:G32)</f>
        <v>18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4"/>
      <c r="Y30" s="4"/>
      <c r="Z30" s="4"/>
    </row>
    <row r="31" ht="14.25" customHeight="1" spans="1:26">
      <c r="A31" s="32"/>
      <c r="B31" s="32"/>
      <c r="C31" s="31" t="s">
        <v>145</v>
      </c>
      <c r="D31" s="18"/>
      <c r="E31" s="18">
        <v>8</v>
      </c>
      <c r="F31" s="18"/>
      <c r="G31" s="32"/>
      <c r="H31" s="32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4"/>
      <c r="Y31" s="4"/>
      <c r="Z31" s="4"/>
    </row>
    <row r="32" ht="14.25" customHeight="1" spans="1:26">
      <c r="A32" s="29"/>
      <c r="B32" s="29"/>
      <c r="C32" s="31" t="s">
        <v>140</v>
      </c>
      <c r="D32" s="18"/>
      <c r="E32" s="18">
        <v>4</v>
      </c>
      <c r="F32" s="18"/>
      <c r="G32" s="29"/>
      <c r="H32" s="29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4"/>
      <c r="Y32" s="4"/>
      <c r="Z32" s="4"/>
    </row>
    <row r="33" ht="14.25" customHeight="1" spans="1:26">
      <c r="A33" s="19">
        <v>10</v>
      </c>
      <c r="B33" s="30" t="s">
        <v>162</v>
      </c>
      <c r="C33" s="18" t="s">
        <v>163</v>
      </c>
      <c r="D33" s="18">
        <v>4</v>
      </c>
      <c r="E33" s="18">
        <v>8</v>
      </c>
      <c r="F33" s="18"/>
      <c r="G33" s="19">
        <v>2</v>
      </c>
      <c r="H33" s="19">
        <f>SUM(D33:G35)</f>
        <v>23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4"/>
      <c r="Y33" s="4"/>
      <c r="Z33" s="4"/>
    </row>
    <row r="34" ht="14.25" customHeight="1" spans="1:26">
      <c r="A34" s="32"/>
      <c r="B34" s="32"/>
      <c r="C34" s="18" t="s">
        <v>165</v>
      </c>
      <c r="D34" s="18">
        <v>3</v>
      </c>
      <c r="E34" s="18"/>
      <c r="F34" s="18"/>
      <c r="G34" s="32"/>
      <c r="H34" s="32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4"/>
      <c r="Y34" s="4"/>
      <c r="Z34" s="4"/>
    </row>
    <row r="35" ht="14.25" customHeight="1" spans="1:26">
      <c r="A35" s="29"/>
      <c r="B35" s="29"/>
      <c r="C35" s="18" t="s">
        <v>197</v>
      </c>
      <c r="D35" s="18"/>
      <c r="E35" s="18">
        <v>6</v>
      </c>
      <c r="F35" s="18"/>
      <c r="G35" s="29"/>
      <c r="H35" s="29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4"/>
      <c r="Y35" s="4"/>
      <c r="Z35" s="4"/>
    </row>
    <row r="36" ht="14.25" customHeight="1" spans="1:26">
      <c r="A36" s="19">
        <v>11</v>
      </c>
      <c r="B36" s="30" t="s">
        <v>166</v>
      </c>
      <c r="C36" s="18" t="s">
        <v>167</v>
      </c>
      <c r="D36" s="18">
        <v>3</v>
      </c>
      <c r="E36" s="18">
        <v>12</v>
      </c>
      <c r="F36" s="18"/>
      <c r="G36" s="19">
        <v>2</v>
      </c>
      <c r="H36" s="19">
        <f>SUM(D36:G38)</f>
        <v>20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4"/>
      <c r="Y36" s="4"/>
      <c r="Z36" s="4"/>
    </row>
    <row r="37" ht="14.25" customHeight="1" spans="1:26">
      <c r="A37" s="32"/>
      <c r="B37" s="32"/>
      <c r="C37" s="18" t="s">
        <v>202</v>
      </c>
      <c r="D37" s="18">
        <v>3</v>
      </c>
      <c r="E37" s="18"/>
      <c r="F37" s="18"/>
      <c r="G37" s="32"/>
      <c r="H37" s="3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4"/>
      <c r="Y37" s="4"/>
      <c r="Z37" s="4"/>
    </row>
    <row r="38" ht="14.25" customHeight="1" spans="1:26">
      <c r="A38" s="29"/>
      <c r="B38" s="29"/>
      <c r="C38" s="31"/>
      <c r="D38" s="18"/>
      <c r="E38" s="18"/>
      <c r="F38" s="18"/>
      <c r="G38" s="29"/>
      <c r="H38" s="29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4"/>
      <c r="Y38" s="4"/>
      <c r="Z38" s="4"/>
    </row>
    <row r="39" ht="14.25" customHeight="1" spans="1:26">
      <c r="A39" s="19">
        <v>12</v>
      </c>
      <c r="B39" s="30" t="s">
        <v>168</v>
      </c>
      <c r="C39" s="18" t="s">
        <v>169</v>
      </c>
      <c r="D39" s="18">
        <v>3</v>
      </c>
      <c r="E39" s="18">
        <v>12</v>
      </c>
      <c r="F39" s="18"/>
      <c r="G39" s="19">
        <v>2</v>
      </c>
      <c r="H39" s="19">
        <f>SUM(D39:G41)</f>
        <v>19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4"/>
      <c r="Y39" s="4"/>
      <c r="Z39" s="4"/>
    </row>
    <row r="40" ht="14.25" customHeight="1" spans="1:26">
      <c r="A40" s="32"/>
      <c r="B40" s="32"/>
      <c r="C40" s="18" t="s">
        <v>170</v>
      </c>
      <c r="D40" s="18"/>
      <c r="E40" s="18">
        <v>2</v>
      </c>
      <c r="F40" s="18"/>
      <c r="G40" s="32"/>
      <c r="H40" s="32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4"/>
      <c r="Y40" s="4"/>
      <c r="Z40" s="4"/>
    </row>
    <row r="41" ht="14.25" customHeight="1" spans="1:26">
      <c r="A41" s="29"/>
      <c r="B41" s="29"/>
      <c r="C41" s="26"/>
      <c r="D41" s="26"/>
      <c r="E41" s="26"/>
      <c r="F41" s="26"/>
      <c r="G41" s="29"/>
      <c r="H41" s="29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4"/>
      <c r="Y41" s="4"/>
      <c r="Z41" s="4"/>
    </row>
    <row r="42" ht="14.25" customHeight="1" spans="1:26">
      <c r="A42" s="19">
        <v>13</v>
      </c>
      <c r="B42" s="30" t="s">
        <v>171</v>
      </c>
      <c r="C42" s="18" t="s">
        <v>172</v>
      </c>
      <c r="D42" s="18">
        <v>3</v>
      </c>
      <c r="E42" s="26"/>
      <c r="F42" s="18"/>
      <c r="G42" s="19">
        <v>2</v>
      </c>
      <c r="H42" s="19">
        <f>SUM(D42:G46)</f>
        <v>19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4"/>
      <c r="Y42" s="4"/>
      <c r="Z42" s="4"/>
    </row>
    <row r="43" ht="14.25" customHeight="1" spans="1:26">
      <c r="A43" s="32"/>
      <c r="B43" s="32"/>
      <c r="C43" s="18" t="s">
        <v>173</v>
      </c>
      <c r="D43" s="18">
        <v>3</v>
      </c>
      <c r="E43" s="18"/>
      <c r="F43" s="18"/>
      <c r="G43" s="32"/>
      <c r="H43" s="32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4"/>
      <c r="Y43" s="4"/>
      <c r="Z43" s="4"/>
    </row>
    <row r="44" ht="14.25" customHeight="1" spans="1:26">
      <c r="A44" s="32"/>
      <c r="B44" s="32"/>
      <c r="C44" s="18" t="s">
        <v>174</v>
      </c>
      <c r="D44" s="18">
        <v>1</v>
      </c>
      <c r="E44" s="18"/>
      <c r="F44" s="18"/>
      <c r="G44" s="32"/>
      <c r="H44" s="32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4"/>
      <c r="Y44" s="4"/>
      <c r="Z44" s="4"/>
    </row>
    <row r="45" ht="14.25" customHeight="1" spans="1:26">
      <c r="A45" s="32"/>
      <c r="B45" s="32"/>
      <c r="C45" s="18" t="s">
        <v>140</v>
      </c>
      <c r="D45" s="18"/>
      <c r="E45" s="18">
        <v>8</v>
      </c>
      <c r="F45" s="18"/>
      <c r="G45" s="32"/>
      <c r="H45" s="32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4"/>
      <c r="Y45" s="4"/>
      <c r="Z45" s="4"/>
    </row>
    <row r="46" ht="14.25" customHeight="1" spans="1:26">
      <c r="A46" s="29"/>
      <c r="B46" s="29"/>
      <c r="C46" s="18" t="s">
        <v>177</v>
      </c>
      <c r="D46" s="18"/>
      <c r="E46" s="18">
        <v>2</v>
      </c>
      <c r="F46" s="18"/>
      <c r="G46" s="29"/>
      <c r="H46" s="29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4"/>
      <c r="Y46" s="4"/>
      <c r="Z46" s="4"/>
    </row>
    <row r="47" ht="14.25" customHeight="1" spans="1:26">
      <c r="A47" s="19">
        <v>14</v>
      </c>
      <c r="B47" s="30" t="s">
        <v>175</v>
      </c>
      <c r="C47" s="18" t="s">
        <v>176</v>
      </c>
      <c r="D47" s="18">
        <v>3</v>
      </c>
      <c r="E47" s="18">
        <v>8</v>
      </c>
      <c r="F47" s="18"/>
      <c r="G47" s="19">
        <v>2</v>
      </c>
      <c r="H47" s="19">
        <f>SUM(D47:G49)</f>
        <v>20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4"/>
      <c r="Y47" s="4"/>
      <c r="Z47" s="4"/>
    </row>
    <row r="48" ht="14.25" customHeight="1" spans="1:26">
      <c r="A48" s="32"/>
      <c r="B48" s="32"/>
      <c r="C48" s="18" t="s">
        <v>198</v>
      </c>
      <c r="D48" s="18">
        <v>3</v>
      </c>
      <c r="E48" s="18"/>
      <c r="F48" s="18"/>
      <c r="G48" s="32"/>
      <c r="H48" s="32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4"/>
      <c r="Y48" s="4"/>
      <c r="Z48" s="4"/>
    </row>
    <row r="49" ht="14.25" customHeight="1" spans="1:26">
      <c r="A49" s="29"/>
      <c r="B49" s="29"/>
      <c r="C49" s="18" t="s">
        <v>177</v>
      </c>
      <c r="D49" s="18"/>
      <c r="E49" s="18">
        <v>4</v>
      </c>
      <c r="F49" s="18"/>
      <c r="G49" s="29"/>
      <c r="H49" s="29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4"/>
      <c r="Y49" s="4"/>
      <c r="Z49" s="4"/>
    </row>
    <row r="50" ht="14.25" customHeight="1" spans="1:26">
      <c r="A50" s="20">
        <v>15</v>
      </c>
      <c r="B50" s="34" t="s">
        <v>178</v>
      </c>
      <c r="C50" s="31" t="s">
        <v>179</v>
      </c>
      <c r="D50" s="31">
        <v>3</v>
      </c>
      <c r="E50" s="31"/>
      <c r="F50" s="31"/>
      <c r="G50" s="20">
        <v>2</v>
      </c>
      <c r="H50" s="19">
        <f>SUM(D50:G52)</f>
        <v>21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4"/>
      <c r="Y50" s="4"/>
      <c r="Z50" s="4"/>
    </row>
    <row r="51" ht="14.25" customHeight="1" spans="1:26">
      <c r="A51" s="32"/>
      <c r="B51" s="32"/>
      <c r="C51" s="31" t="s">
        <v>138</v>
      </c>
      <c r="D51" s="31"/>
      <c r="E51" s="31">
        <v>8</v>
      </c>
      <c r="F51" s="31"/>
      <c r="G51" s="32"/>
      <c r="H51" s="32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4"/>
      <c r="Y51" s="4"/>
      <c r="Z51" s="4"/>
    </row>
    <row r="52" ht="14.25" customHeight="1" spans="1:26">
      <c r="A52" s="29"/>
      <c r="B52" s="29"/>
      <c r="C52" s="18" t="s">
        <v>199</v>
      </c>
      <c r="D52" s="18"/>
      <c r="E52" s="18">
        <v>8</v>
      </c>
      <c r="F52" s="18"/>
      <c r="G52" s="29"/>
      <c r="H52" s="29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4"/>
      <c r="Y52" s="4"/>
      <c r="Z52" s="4"/>
    </row>
    <row r="53" ht="14.25" customHeight="1" spans="1:26">
      <c r="A53" s="19">
        <v>16</v>
      </c>
      <c r="B53" s="30" t="s">
        <v>180</v>
      </c>
      <c r="C53" s="31" t="s">
        <v>181</v>
      </c>
      <c r="D53" s="18">
        <v>3</v>
      </c>
      <c r="E53" s="31">
        <v>12</v>
      </c>
      <c r="F53" s="31"/>
      <c r="G53" s="20">
        <v>2</v>
      </c>
      <c r="H53" s="19">
        <f>SUM(D53:G55)</f>
        <v>20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4"/>
      <c r="Y53" s="4"/>
      <c r="Z53" s="4"/>
    </row>
    <row r="54" ht="14.25" customHeight="1" spans="1:26">
      <c r="A54" s="32"/>
      <c r="B54" s="32"/>
      <c r="C54" s="31" t="s">
        <v>201</v>
      </c>
      <c r="D54" s="31">
        <v>3</v>
      </c>
      <c r="E54" s="31"/>
      <c r="F54" s="31"/>
      <c r="G54" s="32"/>
      <c r="H54" s="3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4"/>
      <c r="Y54" s="4"/>
      <c r="Z54" s="4"/>
    </row>
    <row r="55" ht="14.25" customHeight="1" spans="1:26">
      <c r="A55" s="29"/>
      <c r="B55" s="29"/>
      <c r="C55" s="18"/>
      <c r="D55" s="18"/>
      <c r="E55" s="35"/>
      <c r="F55" s="35"/>
      <c r="G55" s="29"/>
      <c r="H55" s="29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4"/>
      <c r="Y55" s="4"/>
      <c r="Z55" s="4"/>
    </row>
    <row r="56" ht="14.25" customHeight="1" spans="1:26">
      <c r="A56" s="19">
        <v>17</v>
      </c>
      <c r="B56" s="30" t="s">
        <v>182</v>
      </c>
      <c r="C56" s="31" t="s">
        <v>183</v>
      </c>
      <c r="D56" s="31">
        <v>3</v>
      </c>
      <c r="E56" s="31">
        <v>8</v>
      </c>
      <c r="F56" s="31"/>
      <c r="G56" s="19">
        <v>2</v>
      </c>
      <c r="H56" s="19">
        <f>SUM(D56:G58)</f>
        <v>20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4"/>
      <c r="Y56" s="4"/>
      <c r="Z56" s="4"/>
    </row>
    <row r="57" ht="14.25" customHeight="1" spans="1:26">
      <c r="A57" s="32"/>
      <c r="B57" s="32"/>
      <c r="C57" s="31" t="s">
        <v>200</v>
      </c>
      <c r="D57" s="31">
        <v>3</v>
      </c>
      <c r="E57" s="31"/>
      <c r="F57" s="31"/>
      <c r="G57" s="32"/>
      <c r="H57" s="32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4"/>
      <c r="Y57" s="4"/>
      <c r="Z57" s="4"/>
    </row>
    <row r="58" ht="14.25" customHeight="1" spans="1:26">
      <c r="A58" s="29"/>
      <c r="B58" s="29"/>
      <c r="C58" s="31" t="s">
        <v>154</v>
      </c>
      <c r="D58" s="31"/>
      <c r="E58" s="31">
        <v>4</v>
      </c>
      <c r="F58" s="31"/>
      <c r="G58" s="29"/>
      <c r="H58" s="2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4"/>
      <c r="Y58" s="4"/>
      <c r="Z58" s="4"/>
    </row>
    <row r="59" ht="14.25" customHeight="1" spans="1:26">
      <c r="A59" s="19">
        <v>18</v>
      </c>
      <c r="B59" s="36" t="s">
        <v>184</v>
      </c>
      <c r="C59" s="18" t="s">
        <v>185</v>
      </c>
      <c r="D59" s="18">
        <v>3</v>
      </c>
      <c r="E59" s="31"/>
      <c r="F59" s="31"/>
      <c r="G59" s="19">
        <v>2</v>
      </c>
      <c r="H59" s="19">
        <f>SUM(D59:G62)</f>
        <v>20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4"/>
      <c r="Y59" s="4"/>
      <c r="Z59" s="4"/>
    </row>
    <row r="60" ht="14.25" customHeight="1" spans="1:26">
      <c r="A60" s="32"/>
      <c r="B60" s="32"/>
      <c r="C60" s="31" t="s">
        <v>186</v>
      </c>
      <c r="D60" s="31">
        <v>3</v>
      </c>
      <c r="E60" s="31"/>
      <c r="F60" s="31"/>
      <c r="G60" s="32"/>
      <c r="H60" s="32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4"/>
      <c r="Y60" s="4"/>
      <c r="Z60" s="4"/>
    </row>
    <row r="61" ht="14.25" customHeight="1" spans="1:26">
      <c r="A61" s="32"/>
      <c r="B61" s="32"/>
      <c r="C61" s="31" t="s">
        <v>187</v>
      </c>
      <c r="D61" s="31"/>
      <c r="E61" s="31">
        <v>8</v>
      </c>
      <c r="F61" s="31"/>
      <c r="G61" s="32"/>
      <c r="H61" s="32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4"/>
      <c r="Y61" s="4"/>
      <c r="Z61" s="4"/>
    </row>
    <row r="62" ht="14.25" customHeight="1" spans="1:26">
      <c r="A62" s="29"/>
      <c r="B62" s="29"/>
      <c r="C62" s="31" t="s">
        <v>147</v>
      </c>
      <c r="D62" s="31"/>
      <c r="E62" s="31">
        <v>4</v>
      </c>
      <c r="F62" s="31"/>
      <c r="G62" s="29"/>
      <c r="H62" s="29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4"/>
      <c r="Y62" s="4"/>
      <c r="Z62" s="4"/>
    </row>
    <row r="63" ht="14.25" customHeight="1" spans="1:26">
      <c r="A63" s="19">
        <v>20</v>
      </c>
      <c r="B63" s="36" t="s">
        <v>188</v>
      </c>
      <c r="C63" s="18" t="s">
        <v>143</v>
      </c>
      <c r="D63" s="18">
        <v>4</v>
      </c>
      <c r="E63" s="18"/>
      <c r="F63" s="18"/>
      <c r="G63" s="19">
        <v>2</v>
      </c>
      <c r="H63" s="19">
        <f>SUM(D63:G65)</f>
        <v>18</v>
      </c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4"/>
      <c r="Y63" s="4"/>
      <c r="Z63" s="4"/>
    </row>
    <row r="64" ht="14.25" customHeight="1" spans="1:26">
      <c r="A64" s="32"/>
      <c r="B64" s="32"/>
      <c r="C64" s="18" t="s">
        <v>187</v>
      </c>
      <c r="D64" s="18"/>
      <c r="E64" s="18">
        <v>8</v>
      </c>
      <c r="F64" s="18"/>
      <c r="G64" s="32"/>
      <c r="H64" s="32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4"/>
      <c r="Y64" s="4"/>
      <c r="Z64" s="4"/>
    </row>
    <row r="65" ht="14.25" customHeight="1" spans="1:26">
      <c r="A65" s="29"/>
      <c r="B65" s="29"/>
      <c r="C65" s="18" t="s">
        <v>140</v>
      </c>
      <c r="D65" s="18"/>
      <c r="E65" s="18">
        <v>4</v>
      </c>
      <c r="F65" s="18"/>
      <c r="G65" s="29"/>
      <c r="H65" s="29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4"/>
      <c r="Y65" s="4"/>
      <c r="Z65" s="4"/>
    </row>
    <row r="66" ht="14.25" customHeight="1" spans="1:26">
      <c r="A66" s="19">
        <v>21</v>
      </c>
      <c r="B66" s="36" t="s">
        <v>205</v>
      </c>
      <c r="C66" s="31" t="s">
        <v>196</v>
      </c>
      <c r="D66" s="31">
        <v>3</v>
      </c>
      <c r="E66" s="31"/>
      <c r="F66" s="31"/>
      <c r="G66" s="38">
        <v>2</v>
      </c>
      <c r="H66" s="19">
        <v>17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4"/>
      <c r="Y66" s="4"/>
      <c r="Z66" s="4"/>
    </row>
    <row r="67" ht="14.25" customHeight="1" spans="1:26">
      <c r="A67" s="32"/>
      <c r="B67" s="32"/>
      <c r="C67" s="31" t="s">
        <v>120</v>
      </c>
      <c r="D67" s="31"/>
      <c r="E67" s="31">
        <v>8</v>
      </c>
      <c r="F67" s="31"/>
      <c r="G67" s="32"/>
      <c r="H67" s="32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4"/>
      <c r="Y67" s="4"/>
      <c r="Z67" s="4"/>
    </row>
    <row r="68" ht="14.25" customHeight="1" spans="1:26">
      <c r="A68" s="29"/>
      <c r="B68" s="29"/>
      <c r="C68" s="31" t="s">
        <v>140</v>
      </c>
      <c r="D68" s="31"/>
      <c r="E68" s="31">
        <v>4</v>
      </c>
      <c r="F68" s="31"/>
      <c r="G68" s="29"/>
      <c r="H68" s="29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4"/>
      <c r="Y68" s="4"/>
      <c r="Z68" s="4"/>
    </row>
    <row r="69" ht="14.25" customHeight="1" spans="1:26">
      <c r="A69" s="19">
        <v>22</v>
      </c>
      <c r="B69" s="39" t="s">
        <v>189</v>
      </c>
      <c r="C69" s="31" t="s">
        <v>190</v>
      </c>
      <c r="D69" s="31">
        <v>3</v>
      </c>
      <c r="E69" s="26"/>
      <c r="F69" s="31">
        <v>4</v>
      </c>
      <c r="G69" s="19">
        <v>0</v>
      </c>
      <c r="H69" s="19">
        <v>21</v>
      </c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4"/>
      <c r="Y69" s="4"/>
      <c r="Z69" s="4"/>
    </row>
    <row r="70" ht="14.25" customHeight="1" spans="1:26">
      <c r="A70" s="32"/>
      <c r="B70" s="39" t="s">
        <v>189</v>
      </c>
      <c r="C70" s="31" t="s">
        <v>191</v>
      </c>
      <c r="D70" s="31">
        <v>3</v>
      </c>
      <c r="E70" s="26"/>
      <c r="F70" s="31"/>
      <c r="G70" s="32"/>
      <c r="H70" s="32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4"/>
      <c r="Y70" s="4"/>
      <c r="Z70" s="4"/>
    </row>
    <row r="71" ht="14.25" customHeight="1" spans="1:26">
      <c r="A71" s="32"/>
      <c r="B71" s="39" t="s">
        <v>192</v>
      </c>
      <c r="C71" s="31" t="s">
        <v>191</v>
      </c>
      <c r="D71" s="31"/>
      <c r="E71" s="26"/>
      <c r="F71" s="31">
        <v>4</v>
      </c>
      <c r="G71" s="32"/>
      <c r="H71" s="32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4"/>
      <c r="Y71" s="4"/>
      <c r="Z71" s="4"/>
    </row>
    <row r="72" ht="14.25" customHeight="1" spans="1:26">
      <c r="A72" s="32"/>
      <c r="B72" s="39" t="s">
        <v>193</v>
      </c>
      <c r="C72" s="31" t="s">
        <v>194</v>
      </c>
      <c r="D72" s="40">
        <v>3</v>
      </c>
      <c r="E72" s="26"/>
      <c r="F72" s="39"/>
      <c r="G72" s="32"/>
      <c r="H72" s="32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4"/>
      <c r="Y72" s="4"/>
      <c r="Z72" s="4"/>
    </row>
    <row r="73" ht="14.25" customHeight="1" spans="1:26">
      <c r="A73" s="29"/>
      <c r="B73" s="39" t="s">
        <v>195</v>
      </c>
      <c r="C73" s="31" t="s">
        <v>194</v>
      </c>
      <c r="D73" s="40"/>
      <c r="E73" s="26"/>
      <c r="F73" s="31">
        <v>4</v>
      </c>
      <c r="G73" s="29"/>
      <c r="H73" s="29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4"/>
      <c r="Y73" s="4"/>
      <c r="Z73" s="4"/>
    </row>
    <row r="74" ht="15.75" customHeight="1" spans="1:26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4"/>
      <c r="Y74" s="4"/>
      <c r="Z74" s="4"/>
    </row>
    <row r="75" ht="15.75" customHeight="1" spans="1:26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4"/>
      <c r="Y75" s="4"/>
      <c r="Z75" s="4"/>
    </row>
    <row r="76" ht="15.75" customHeight="1" spans="1:2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4"/>
      <c r="Y76" s="4"/>
      <c r="Z76" s="4"/>
    </row>
    <row r="77" customHeight="1" spans="1:26">
      <c r="A77" s="37"/>
      <c r="B77" s="41" t="s">
        <v>124</v>
      </c>
      <c r="C77" s="37"/>
      <c r="D77" s="37"/>
      <c r="E77" s="4"/>
      <c r="F77" s="4"/>
      <c r="G77" s="41" t="s">
        <v>110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4"/>
      <c r="Y77" s="4"/>
      <c r="Z77" s="4"/>
    </row>
    <row r="78" customHeight="1" spans="1:26">
      <c r="A78" s="37"/>
      <c r="B78" s="41" t="s">
        <v>203</v>
      </c>
      <c r="C78" s="41"/>
      <c r="D78" s="41"/>
      <c r="E78" s="4"/>
      <c r="F78" s="4"/>
      <c r="G78" s="41" t="s">
        <v>204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4"/>
      <c r="Y78" s="4"/>
      <c r="Z78" s="4"/>
    </row>
    <row r="79" customHeight="1" spans="1:26">
      <c r="A79" s="37"/>
      <c r="B79" s="41"/>
      <c r="C79" s="41"/>
      <c r="D79" s="41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4"/>
      <c r="Y79" s="4"/>
      <c r="Z79" s="4"/>
    </row>
    <row r="80" ht="15.75" customHeight="1" spans="1:26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4"/>
      <c r="Y80" s="4"/>
      <c r="Z80" s="4"/>
    </row>
    <row r="81" ht="15.75" customHeight="1" spans="1:26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4"/>
      <c r="Y81" s="4"/>
      <c r="Z81" s="4"/>
    </row>
    <row r="82" ht="15.75" customHeight="1" spans="1:26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4"/>
      <c r="Y82" s="4"/>
      <c r="Z82" s="4"/>
    </row>
    <row r="83" ht="15.75" customHeight="1" spans="1:26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4"/>
      <c r="Y83" s="4"/>
      <c r="Z83" s="4"/>
    </row>
    <row r="84" ht="15.75" customHeight="1" spans="1:26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4"/>
      <c r="Y84" s="4"/>
      <c r="Z84" s="4"/>
    </row>
    <row r="85" ht="15.75" customHeight="1" spans="1:26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4"/>
      <c r="Y85" s="4"/>
      <c r="Z85" s="4"/>
    </row>
    <row r="86" ht="15.75" customHeight="1" spans="1:2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4"/>
      <c r="Y86" s="4"/>
      <c r="Z86" s="4"/>
    </row>
    <row r="87" ht="15.75" customHeight="1" spans="1:26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4"/>
      <c r="Y87" s="4"/>
      <c r="Z87" s="4"/>
    </row>
    <row r="88" ht="15.75" customHeight="1" spans="1:26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4"/>
      <c r="Y88" s="4"/>
      <c r="Z88" s="4"/>
    </row>
    <row r="89" ht="15.75" customHeight="1" spans="1:26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4"/>
      <c r="Y89" s="4"/>
      <c r="Z89" s="4"/>
    </row>
    <row r="90" ht="15.75" customHeight="1" spans="1:26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4"/>
      <c r="Y90" s="4"/>
      <c r="Z90" s="4"/>
    </row>
    <row r="91" ht="15.75" customHeight="1" spans="1:26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4"/>
      <c r="Y91" s="4"/>
      <c r="Z91" s="4"/>
    </row>
    <row r="92" ht="15.75" customHeight="1" spans="1:26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4"/>
      <c r="Y92" s="4"/>
      <c r="Z92" s="4"/>
    </row>
    <row r="93" ht="15.75" customHeight="1" spans="1:26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4"/>
      <c r="Y93" s="4"/>
      <c r="Z93" s="4"/>
    </row>
    <row r="94" ht="15.75" customHeight="1" spans="1:26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4"/>
      <c r="Y94" s="4"/>
      <c r="Z94" s="4"/>
    </row>
    <row r="95" ht="15.75" customHeight="1" spans="1:26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4"/>
      <c r="Y95" s="4"/>
      <c r="Z95" s="4"/>
    </row>
    <row r="96" ht="15.75" customHeight="1" spans="1:2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4"/>
      <c r="Y96" s="4"/>
      <c r="Z96" s="4"/>
    </row>
    <row r="97" ht="15.75" customHeight="1" spans="1:26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4"/>
      <c r="Y97" s="4"/>
      <c r="Z97" s="4"/>
    </row>
    <row r="98" ht="15.75" customHeight="1" spans="1:26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4"/>
      <c r="Y98" s="4"/>
      <c r="Z98" s="4"/>
    </row>
    <row r="99" ht="15.75" customHeight="1" spans="1:26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4"/>
      <c r="Y99" s="4"/>
      <c r="Z99" s="4"/>
    </row>
    <row r="100" ht="15.75" customHeight="1" spans="1:26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4"/>
      <c r="Y100" s="4"/>
      <c r="Z100" s="4"/>
    </row>
    <row r="101" ht="15.75" customHeight="1" spans="1:26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4"/>
      <c r="Y101" s="4"/>
      <c r="Z101" s="4"/>
    </row>
    <row r="102" ht="15.75" customHeight="1" spans="1:26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4"/>
      <c r="Y102" s="4"/>
      <c r="Z102" s="4"/>
    </row>
    <row r="103" ht="15.75" customHeight="1" spans="1:26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4"/>
      <c r="Y103" s="4"/>
      <c r="Z103" s="4"/>
    </row>
    <row r="104" ht="15.75" customHeight="1" spans="1:26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4"/>
      <c r="Y104" s="4"/>
      <c r="Z104" s="4"/>
    </row>
    <row r="105" ht="15.75" customHeight="1" spans="1:26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4"/>
      <c r="Y105" s="4"/>
      <c r="Z105" s="4"/>
    </row>
    <row r="106" ht="15.75" customHeight="1" spans="1:2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4"/>
      <c r="Y106" s="4"/>
      <c r="Z106" s="4"/>
    </row>
    <row r="107" ht="15.75" customHeight="1" spans="1:26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4"/>
      <c r="Y107" s="4"/>
      <c r="Z107" s="4"/>
    </row>
    <row r="108" ht="15.75" customHeight="1" spans="1:26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4"/>
      <c r="Y108" s="4"/>
      <c r="Z108" s="4"/>
    </row>
    <row r="109" ht="15.75" customHeight="1" spans="1:26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4"/>
      <c r="Y109" s="4"/>
      <c r="Z109" s="4"/>
    </row>
    <row r="110" ht="15.75" customHeight="1" spans="1:26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4"/>
      <c r="Y110" s="4"/>
      <c r="Z110" s="4"/>
    </row>
    <row r="111" ht="15.75" customHeight="1" spans="1:26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4"/>
      <c r="Y111" s="4"/>
      <c r="Z111" s="4"/>
    </row>
    <row r="112" ht="15.75" customHeight="1" spans="1:26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4"/>
      <c r="Y112" s="4"/>
      <c r="Z112" s="4"/>
    </row>
    <row r="113" ht="15.75" customHeight="1" spans="1:26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4"/>
      <c r="Y113" s="4"/>
      <c r="Z113" s="4"/>
    </row>
    <row r="114" ht="15.75" customHeight="1" spans="1:26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4"/>
      <c r="Y114" s="4"/>
      <c r="Z114" s="4"/>
    </row>
    <row r="115" ht="15.75" customHeight="1" spans="1:26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4"/>
      <c r="Y115" s="4"/>
      <c r="Z115" s="4"/>
    </row>
    <row r="116" ht="15.75" customHeight="1" spans="1:2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4"/>
      <c r="Y116" s="4"/>
      <c r="Z116" s="4"/>
    </row>
    <row r="117" ht="15.75" customHeight="1" spans="1:26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4"/>
      <c r="Y117" s="4"/>
      <c r="Z117" s="4"/>
    </row>
    <row r="118" ht="15.75" customHeight="1" spans="1:26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4"/>
      <c r="Y118" s="4"/>
      <c r="Z118" s="4"/>
    </row>
    <row r="119" ht="15.75" customHeight="1" spans="1:26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4"/>
      <c r="Y119" s="4"/>
      <c r="Z119" s="4"/>
    </row>
    <row r="120" ht="15.75" customHeight="1" spans="1:26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4"/>
      <c r="Y120" s="4"/>
      <c r="Z120" s="4"/>
    </row>
    <row r="121" ht="15.75" customHeight="1" spans="1:26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4"/>
      <c r="Y121" s="4"/>
      <c r="Z121" s="4"/>
    </row>
    <row r="122" ht="15.75" customHeight="1" spans="1:26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4"/>
      <c r="Y122" s="4"/>
      <c r="Z122" s="4"/>
    </row>
    <row r="123" ht="15.75" customHeight="1" spans="1:26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4"/>
      <c r="Y123" s="4"/>
      <c r="Z123" s="4"/>
    </row>
    <row r="124" ht="15.75" customHeight="1" spans="1:26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4"/>
      <c r="Y124" s="4"/>
      <c r="Z124" s="4"/>
    </row>
    <row r="125" ht="15.75" customHeight="1" spans="1:26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4"/>
      <c r="Y125" s="4"/>
      <c r="Z125" s="4"/>
    </row>
    <row r="126" ht="15.75" customHeight="1" spans="1: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4"/>
      <c r="Y126" s="4"/>
      <c r="Z126" s="4"/>
    </row>
    <row r="127" ht="15.75" customHeight="1" spans="1:26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4"/>
      <c r="Y127" s="4"/>
      <c r="Z127" s="4"/>
    </row>
    <row r="128" ht="15.75" customHeight="1" spans="1:26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4"/>
      <c r="Y128" s="4"/>
      <c r="Z128" s="4"/>
    </row>
    <row r="129" ht="15.75" customHeight="1" spans="1:26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4"/>
      <c r="Y129" s="4"/>
      <c r="Z129" s="4"/>
    </row>
    <row r="130" ht="15.75" customHeight="1" spans="1:26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4"/>
      <c r="Y130" s="4"/>
      <c r="Z130" s="4"/>
    </row>
    <row r="131" ht="15.75" customHeight="1" spans="1:26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4"/>
      <c r="Y131" s="4"/>
      <c r="Z131" s="4"/>
    </row>
    <row r="132" ht="15.75" customHeight="1" spans="1:26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4"/>
      <c r="Y132" s="4"/>
      <c r="Z132" s="4"/>
    </row>
    <row r="133" ht="15.75" customHeight="1" spans="1:26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4"/>
      <c r="Y133" s="4"/>
      <c r="Z133" s="4"/>
    </row>
    <row r="134" ht="15.75" customHeight="1" spans="1:26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4"/>
      <c r="Y134" s="4"/>
      <c r="Z134" s="4"/>
    </row>
    <row r="135" ht="15.75" customHeight="1" spans="1:26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4"/>
      <c r="Y135" s="4"/>
      <c r="Z135" s="4"/>
    </row>
    <row r="136" ht="15.75" customHeight="1" spans="1:2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4"/>
      <c r="Y136" s="4"/>
      <c r="Z136" s="4"/>
    </row>
    <row r="137" ht="15.75" customHeight="1" spans="1:26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4"/>
      <c r="Y137" s="4"/>
      <c r="Z137" s="4"/>
    </row>
    <row r="138" ht="15.75" customHeight="1" spans="1:26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4"/>
      <c r="Y138" s="4"/>
      <c r="Z138" s="4"/>
    </row>
    <row r="139" ht="15.75" customHeight="1" spans="1:26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4"/>
      <c r="Y139" s="4"/>
      <c r="Z139" s="4"/>
    </row>
    <row r="140" ht="15.75" customHeight="1" spans="1:26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4"/>
      <c r="Y140" s="4"/>
      <c r="Z140" s="4"/>
    </row>
    <row r="141" ht="15.75" customHeight="1" spans="1:26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4"/>
      <c r="Y141" s="4"/>
      <c r="Z141" s="4"/>
    </row>
    <row r="142" ht="15.75" customHeight="1" spans="1:26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4"/>
      <c r="Y142" s="4"/>
      <c r="Z142" s="4"/>
    </row>
    <row r="143" ht="15.75" customHeight="1" spans="1:26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4"/>
      <c r="Y143" s="4"/>
      <c r="Z143" s="4"/>
    </row>
    <row r="144" ht="15.75" customHeight="1" spans="1:26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4"/>
      <c r="Y144" s="4"/>
      <c r="Z144" s="4"/>
    </row>
    <row r="145" ht="15.75" customHeight="1" spans="1:26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4"/>
      <c r="Y145" s="4"/>
      <c r="Z145" s="4"/>
    </row>
    <row r="146" ht="15.75" customHeight="1" spans="1:2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4"/>
      <c r="Y146" s="4"/>
      <c r="Z146" s="4"/>
    </row>
    <row r="147" ht="15.75" customHeight="1" spans="1:26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4"/>
      <c r="Y147" s="4"/>
      <c r="Z147" s="4"/>
    </row>
    <row r="148" ht="15.75" customHeight="1" spans="1:26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4"/>
      <c r="Y148" s="4"/>
      <c r="Z148" s="4"/>
    </row>
    <row r="149" ht="15.75" customHeight="1" spans="1:26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4"/>
      <c r="Y149" s="4"/>
      <c r="Z149" s="4"/>
    </row>
    <row r="150" ht="15.75" customHeight="1" spans="1:26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4"/>
      <c r="Y150" s="4"/>
      <c r="Z150" s="4"/>
    </row>
    <row r="151" ht="15.75" customHeight="1" spans="1:26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4"/>
      <c r="Y151" s="4"/>
      <c r="Z151" s="4"/>
    </row>
    <row r="152" ht="15.75" customHeight="1" spans="1:26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4"/>
      <c r="Y152" s="4"/>
      <c r="Z152" s="4"/>
    </row>
    <row r="153" ht="15.75" customHeight="1" spans="1:26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4"/>
      <c r="Y153" s="4"/>
      <c r="Z153" s="4"/>
    </row>
    <row r="154" ht="15.75" customHeight="1" spans="1:26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4"/>
      <c r="Y154" s="4"/>
      <c r="Z154" s="4"/>
    </row>
    <row r="155" ht="15.75" customHeight="1" spans="1:26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4"/>
      <c r="Y155" s="4"/>
      <c r="Z155" s="4"/>
    </row>
    <row r="156" ht="15.75" customHeight="1" spans="1:2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4"/>
      <c r="Y156" s="4"/>
      <c r="Z156" s="4"/>
    </row>
    <row r="157" ht="15.75" customHeight="1" spans="1:26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4"/>
      <c r="Y157" s="4"/>
      <c r="Z157" s="4"/>
    </row>
    <row r="158" ht="15.75" customHeight="1" spans="1:26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4"/>
      <c r="Y158" s="4"/>
      <c r="Z158" s="4"/>
    </row>
    <row r="159" ht="15.75" customHeight="1" spans="1:26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4"/>
      <c r="Y159" s="4"/>
      <c r="Z159" s="4"/>
    </row>
    <row r="160" ht="15.75" customHeight="1" spans="1:26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4"/>
      <c r="Y160" s="4"/>
      <c r="Z160" s="4"/>
    </row>
    <row r="161" ht="15.75" customHeight="1" spans="1:26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4"/>
      <c r="Y161" s="4"/>
      <c r="Z161" s="4"/>
    </row>
    <row r="162" ht="15.75" customHeight="1" spans="1:26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4"/>
      <c r="Y162" s="4"/>
      <c r="Z162" s="4"/>
    </row>
    <row r="163" ht="15.75" customHeight="1" spans="1:26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4"/>
      <c r="Y163" s="4"/>
      <c r="Z163" s="4"/>
    </row>
    <row r="164" ht="15.75" customHeight="1" spans="1:26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4"/>
      <c r="Y164" s="4"/>
      <c r="Z164" s="4"/>
    </row>
    <row r="165" ht="15.75" customHeight="1" spans="1:26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4"/>
      <c r="Y165" s="4"/>
      <c r="Z165" s="4"/>
    </row>
    <row r="166" ht="15.75" customHeight="1" spans="1:2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4"/>
      <c r="Y166" s="4"/>
      <c r="Z166" s="4"/>
    </row>
    <row r="167" ht="15.75" customHeight="1" spans="1:26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4"/>
      <c r="Y167" s="4"/>
      <c r="Z167" s="4"/>
    </row>
    <row r="168" ht="15.75" customHeight="1" spans="1:26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4"/>
      <c r="Y168" s="4"/>
      <c r="Z168" s="4"/>
    </row>
    <row r="169" ht="15.75" customHeight="1" spans="1:26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4"/>
      <c r="Y169" s="4"/>
      <c r="Z169" s="4"/>
    </row>
    <row r="170" ht="15.75" customHeight="1" spans="1:26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4"/>
      <c r="Y170" s="4"/>
      <c r="Z170" s="4"/>
    </row>
    <row r="171" ht="15.75" customHeight="1" spans="1:26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4"/>
      <c r="Y171" s="4"/>
      <c r="Z171" s="4"/>
    </row>
    <row r="172" ht="15.75" customHeight="1" spans="1:26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4"/>
      <c r="Y172" s="4"/>
      <c r="Z172" s="4"/>
    </row>
    <row r="173" ht="15.75" customHeight="1" spans="1:26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4"/>
      <c r="Y173" s="4"/>
      <c r="Z173" s="4"/>
    </row>
    <row r="174" ht="15.75" customHeight="1" spans="1:26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4"/>
      <c r="Y174" s="4"/>
      <c r="Z174" s="4"/>
    </row>
    <row r="175" ht="15.75" customHeight="1" spans="1:26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4"/>
      <c r="Y175" s="4"/>
      <c r="Z175" s="4"/>
    </row>
    <row r="176" ht="15.75" customHeight="1" spans="1:2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4"/>
      <c r="Y176" s="4"/>
      <c r="Z176" s="4"/>
    </row>
    <row r="177" ht="15.75" customHeight="1" spans="1:26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4"/>
      <c r="Y177" s="4"/>
      <c r="Z177" s="4"/>
    </row>
    <row r="178" ht="15.75" customHeight="1" spans="1:26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4"/>
      <c r="Y178" s="4"/>
      <c r="Z178" s="4"/>
    </row>
    <row r="179" ht="15.75" customHeight="1" spans="1:26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4"/>
      <c r="Y179" s="4"/>
      <c r="Z179" s="4"/>
    </row>
    <row r="180" ht="15.75" customHeight="1" spans="1:26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4"/>
      <c r="Y180" s="4"/>
      <c r="Z180" s="4"/>
    </row>
    <row r="181" ht="15.75" customHeight="1" spans="1:26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4"/>
      <c r="Y181" s="4"/>
      <c r="Z181" s="4"/>
    </row>
    <row r="182" ht="15.75" customHeight="1" spans="1:26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4"/>
      <c r="Y182" s="4"/>
      <c r="Z182" s="4"/>
    </row>
    <row r="183" ht="15.75" customHeight="1" spans="1:26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4"/>
      <c r="Y183" s="4"/>
      <c r="Z183" s="4"/>
    </row>
    <row r="184" ht="15.75" customHeight="1" spans="1:26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4"/>
      <c r="Y184" s="4"/>
      <c r="Z184" s="4"/>
    </row>
    <row r="185" ht="15.75" customHeight="1" spans="1:26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4"/>
      <c r="Y185" s="4"/>
      <c r="Z185" s="4"/>
    </row>
    <row r="186" ht="15.75" customHeight="1" spans="1:2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4"/>
      <c r="Y186" s="4"/>
      <c r="Z186" s="4"/>
    </row>
    <row r="187" ht="15.75" customHeight="1" spans="1:26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4"/>
      <c r="Y187" s="4"/>
      <c r="Z187" s="4"/>
    </row>
    <row r="188" ht="15.75" customHeight="1" spans="1:26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4"/>
      <c r="Y188" s="4"/>
      <c r="Z188" s="4"/>
    </row>
    <row r="189" ht="15.75" customHeight="1" spans="1:26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4"/>
      <c r="Y189" s="4"/>
      <c r="Z189" s="4"/>
    </row>
    <row r="190" ht="15.75" customHeight="1" spans="1:26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4"/>
      <c r="Y190" s="4"/>
      <c r="Z190" s="4"/>
    </row>
    <row r="191" ht="15.75" customHeight="1" spans="1:26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4"/>
      <c r="Y191" s="4"/>
      <c r="Z191" s="4"/>
    </row>
    <row r="192" ht="15.75" customHeight="1" spans="1:26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4"/>
      <c r="Y192" s="4"/>
      <c r="Z192" s="4"/>
    </row>
    <row r="193" ht="15.75" customHeight="1" spans="1:26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4"/>
      <c r="Y193" s="4"/>
      <c r="Z193" s="4"/>
    </row>
    <row r="194" ht="15.75" customHeight="1" spans="1:26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4"/>
      <c r="Y194" s="4"/>
      <c r="Z194" s="4"/>
    </row>
    <row r="195" ht="15.75" customHeight="1" spans="1:26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4"/>
      <c r="Y195" s="4"/>
      <c r="Z195" s="4"/>
    </row>
    <row r="196" ht="15.75" customHeight="1" spans="1:2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4"/>
      <c r="Y196" s="4"/>
      <c r="Z196" s="4"/>
    </row>
    <row r="197" ht="15.75" customHeight="1" spans="1:26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4"/>
      <c r="Y197" s="4"/>
      <c r="Z197" s="4"/>
    </row>
    <row r="198" ht="15.75" customHeight="1" spans="1:26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4"/>
      <c r="Y198" s="4"/>
      <c r="Z198" s="4"/>
    </row>
    <row r="199" ht="15.75" customHeight="1" spans="1:26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4"/>
      <c r="Y199" s="4"/>
      <c r="Z199" s="4"/>
    </row>
    <row r="200" ht="15.75" customHeight="1" spans="1:26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4"/>
      <c r="Y200" s="4"/>
      <c r="Z200" s="4"/>
    </row>
    <row r="201" ht="15.75" customHeight="1" spans="1:26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4"/>
      <c r="Y201" s="4"/>
      <c r="Z201" s="4"/>
    </row>
    <row r="202" ht="15.75" customHeight="1" spans="1:26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4"/>
      <c r="Y202" s="4"/>
      <c r="Z202" s="4"/>
    </row>
    <row r="203" ht="15.75" customHeight="1" spans="1:26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4"/>
      <c r="Y203" s="4"/>
      <c r="Z203" s="4"/>
    </row>
    <row r="204" ht="15.75" customHeight="1" spans="1:26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4"/>
      <c r="Y204" s="4"/>
      <c r="Z204" s="4"/>
    </row>
    <row r="205" ht="15.75" customHeight="1" spans="1:26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4"/>
      <c r="Y205" s="4"/>
      <c r="Z205" s="4"/>
    </row>
    <row r="206" ht="15.75" customHeight="1" spans="1:2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4"/>
      <c r="Y206" s="4"/>
      <c r="Z206" s="4"/>
    </row>
    <row r="207" ht="15.75" customHeight="1" spans="1:26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4"/>
      <c r="Y207" s="4"/>
      <c r="Z207" s="4"/>
    </row>
    <row r="208" ht="15.75" customHeight="1" spans="1:26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4"/>
      <c r="Y208" s="4"/>
      <c r="Z208" s="4"/>
    </row>
    <row r="209" ht="15.75" customHeight="1" spans="1:26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4"/>
      <c r="Y209" s="4"/>
      <c r="Z209" s="4"/>
    </row>
    <row r="210" ht="15.75" customHeight="1" spans="1:26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4"/>
      <c r="Y210" s="4"/>
      <c r="Z210" s="4"/>
    </row>
    <row r="211" ht="15.75" customHeight="1" spans="1:26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4"/>
      <c r="Y211" s="4"/>
      <c r="Z211" s="4"/>
    </row>
    <row r="212" ht="15.75" customHeight="1" spans="1:26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4"/>
      <c r="Y212" s="4"/>
      <c r="Z212" s="4"/>
    </row>
    <row r="213" ht="15.75" customHeight="1" spans="1:26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4"/>
      <c r="Y213" s="4"/>
      <c r="Z213" s="4"/>
    </row>
    <row r="214" ht="15.75" customHeight="1" spans="1:26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4"/>
      <c r="Y214" s="4"/>
      <c r="Z214" s="4"/>
    </row>
    <row r="215" ht="15.75" customHeight="1" spans="1:26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4"/>
      <c r="Y215" s="4"/>
      <c r="Z215" s="4"/>
    </row>
    <row r="216" ht="15.75" customHeight="1" spans="1:2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4"/>
      <c r="Y216" s="4"/>
      <c r="Z216" s="4"/>
    </row>
    <row r="217" ht="15.75" customHeight="1" spans="1:26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4"/>
      <c r="Y217" s="4"/>
      <c r="Z217" s="4"/>
    </row>
    <row r="218" ht="15.75" customHeight="1" spans="1:26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4"/>
      <c r="Y218" s="4"/>
      <c r="Z218" s="4"/>
    </row>
    <row r="219" ht="15.75" customHeight="1" spans="1:26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4"/>
      <c r="Y219" s="4"/>
      <c r="Z219" s="4"/>
    </row>
    <row r="220" ht="15.75" customHeight="1" spans="1:26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4"/>
      <c r="Y220" s="4"/>
      <c r="Z220" s="4"/>
    </row>
    <row r="221" ht="15.75" customHeight="1" spans="1:26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4"/>
      <c r="Y221" s="4"/>
      <c r="Z221" s="4"/>
    </row>
    <row r="222" ht="15.75" customHeight="1" spans="1:26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4"/>
      <c r="Y222" s="4"/>
      <c r="Z222" s="4"/>
    </row>
    <row r="223" ht="15.75" customHeight="1" spans="1:26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4"/>
      <c r="Y223" s="4"/>
      <c r="Z223" s="4"/>
    </row>
    <row r="224" ht="15.75" customHeight="1" spans="1:26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4"/>
      <c r="Y224" s="4"/>
      <c r="Z224" s="4"/>
    </row>
    <row r="225" ht="15.75" customHeight="1" spans="1:26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4"/>
      <c r="Y225" s="4"/>
      <c r="Z225" s="4"/>
    </row>
    <row r="226" ht="15.75" customHeight="1" spans="1: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4"/>
      <c r="Y226" s="4"/>
      <c r="Z226" s="4"/>
    </row>
    <row r="227" ht="15.75" customHeight="1" spans="1:26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4"/>
      <c r="Y227" s="4"/>
      <c r="Z227" s="4"/>
    </row>
    <row r="228" ht="15.75" customHeight="1" spans="1:26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4"/>
      <c r="Y228" s="4"/>
      <c r="Z228" s="4"/>
    </row>
    <row r="229" ht="15.75" customHeight="1" spans="1:26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4"/>
      <c r="Y229" s="4"/>
      <c r="Z229" s="4"/>
    </row>
    <row r="230" ht="15.75" customHeight="1" spans="1:26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4"/>
      <c r="Y230" s="4"/>
      <c r="Z230" s="4"/>
    </row>
    <row r="231" ht="15.75" customHeight="1" spans="1:26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4"/>
      <c r="Y231" s="4"/>
      <c r="Z231" s="4"/>
    </row>
    <row r="232" ht="15.75" customHeight="1" spans="1:26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4"/>
      <c r="Y232" s="4"/>
      <c r="Z232" s="4"/>
    </row>
    <row r="233" ht="15.75" customHeight="1" spans="1:26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4"/>
      <c r="Y233" s="4"/>
      <c r="Z233" s="4"/>
    </row>
    <row r="234" ht="15.75" customHeight="1" spans="1:26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4"/>
      <c r="Y234" s="4"/>
      <c r="Z234" s="4"/>
    </row>
    <row r="235" ht="15.75" customHeight="1" spans="1:26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4"/>
      <c r="Y235" s="4"/>
      <c r="Z235" s="4"/>
    </row>
    <row r="236" ht="15.75" customHeight="1" spans="1:2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4"/>
      <c r="Y236" s="4"/>
      <c r="Z236" s="4"/>
    </row>
    <row r="237" ht="15.75" customHeight="1" spans="1:26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4"/>
      <c r="Y237" s="4"/>
      <c r="Z237" s="4"/>
    </row>
    <row r="238" ht="15.75" customHeight="1" spans="1:26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4"/>
      <c r="Y238" s="4"/>
      <c r="Z238" s="4"/>
    </row>
    <row r="239" ht="15.75" customHeight="1" spans="1:26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4"/>
      <c r="Y239" s="4"/>
      <c r="Z239" s="4"/>
    </row>
    <row r="240" ht="15.75" customHeight="1" spans="1:26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4"/>
      <c r="Y240" s="4"/>
      <c r="Z240" s="4"/>
    </row>
    <row r="241" ht="15.75" customHeight="1" spans="1:26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4"/>
      <c r="Y241" s="4"/>
      <c r="Z241" s="4"/>
    </row>
    <row r="242" ht="15.75" customHeight="1" spans="1:26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4"/>
      <c r="Y242" s="4"/>
      <c r="Z242" s="4"/>
    </row>
    <row r="243" ht="15.75" customHeight="1" spans="1:26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4"/>
      <c r="Y243" s="4"/>
      <c r="Z243" s="4"/>
    </row>
    <row r="244" ht="15.75" customHeight="1" spans="1:26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4"/>
      <c r="Y244" s="4"/>
      <c r="Z244" s="4"/>
    </row>
    <row r="245" ht="15.75" customHeight="1" spans="1:26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4"/>
      <c r="Y245" s="4"/>
      <c r="Z245" s="4"/>
    </row>
    <row r="246" ht="15.75" customHeight="1" spans="1:2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4"/>
      <c r="Y246" s="4"/>
      <c r="Z246" s="4"/>
    </row>
    <row r="247" ht="15.75" customHeight="1" spans="1:26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4"/>
      <c r="Y247" s="4"/>
      <c r="Z247" s="4"/>
    </row>
    <row r="248" ht="15.75" customHeight="1" spans="1:26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4"/>
      <c r="Y248" s="4"/>
      <c r="Z248" s="4"/>
    </row>
    <row r="249" ht="15.75" customHeight="1" spans="1:26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4"/>
      <c r="Y249" s="4"/>
      <c r="Z249" s="4"/>
    </row>
    <row r="250" ht="15.75" customHeight="1" spans="1:2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4"/>
      <c r="Y250" s="4"/>
      <c r="Z250" s="4"/>
    </row>
    <row r="251" ht="15.75" customHeight="1" spans="1:2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4"/>
      <c r="Y251" s="4"/>
      <c r="Z251" s="4"/>
    </row>
    <row r="252" ht="15.75" customHeight="1" spans="1:2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4"/>
      <c r="Y252" s="4"/>
      <c r="Z252" s="4"/>
    </row>
    <row r="253" ht="15.75" customHeight="1" spans="1:2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4"/>
      <c r="Y253" s="4"/>
      <c r="Z253" s="4"/>
    </row>
    <row r="254" ht="15.75" customHeight="1" spans="1:2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4"/>
      <c r="Y254" s="4"/>
      <c r="Z254" s="4"/>
    </row>
    <row r="255" ht="15.75" customHeight="1" spans="1:2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4"/>
      <c r="Y255" s="4"/>
      <c r="Z255" s="4"/>
    </row>
    <row r="256" ht="15.75" customHeight="1" spans="1:2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4"/>
      <c r="Y256" s="4"/>
      <c r="Z256" s="4"/>
    </row>
    <row r="257" ht="15.75" customHeight="1" spans="1:2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4"/>
      <c r="Y257" s="4"/>
      <c r="Z257" s="4"/>
    </row>
    <row r="258" ht="15.75" customHeight="1" spans="1:2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4"/>
      <c r="Y258" s="4"/>
      <c r="Z258" s="4"/>
    </row>
    <row r="259" ht="15.75" customHeight="1" spans="1:2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4"/>
      <c r="Y259" s="4"/>
      <c r="Z259" s="4"/>
    </row>
    <row r="260" ht="15.75" customHeight="1" spans="1:2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4"/>
      <c r="Y260" s="4"/>
      <c r="Z260" s="4"/>
    </row>
    <row r="261" ht="15.75" customHeight="1" spans="1:2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4"/>
      <c r="Y261" s="4"/>
      <c r="Z261" s="4"/>
    </row>
    <row r="262" ht="15.75" customHeight="1" spans="1:2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4"/>
      <c r="Y262" s="4"/>
      <c r="Z262" s="4"/>
    </row>
    <row r="263" ht="15.75" customHeight="1" spans="1:2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4"/>
      <c r="Y263" s="4"/>
      <c r="Z263" s="4"/>
    </row>
    <row r="264" ht="15.75" customHeight="1" spans="1:2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4"/>
      <c r="Y264" s="4"/>
      <c r="Z264" s="4"/>
    </row>
    <row r="265" ht="15.75" customHeight="1" spans="1:2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4"/>
      <c r="Y265" s="4"/>
      <c r="Z265" s="4"/>
    </row>
    <row r="266" ht="15.75" customHeight="1" spans="1:2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4"/>
      <c r="Y266" s="4"/>
      <c r="Z266" s="4"/>
    </row>
    <row r="267" ht="15.75" customHeight="1" spans="1:26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4"/>
      <c r="Y267" s="4"/>
      <c r="Z267" s="4"/>
    </row>
    <row r="268" ht="15.75" customHeight="1" spans="1:26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4"/>
      <c r="Y268" s="4"/>
      <c r="Z268" s="4"/>
    </row>
    <row r="269" ht="15.75" customHeight="1" spans="1:26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4"/>
      <c r="Y269" s="4"/>
      <c r="Z269" s="4"/>
    </row>
    <row r="270" ht="15.75" customHeight="1" spans="1:26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4"/>
      <c r="Y270" s="4"/>
      <c r="Z270" s="4"/>
    </row>
    <row r="271" ht="15.75" customHeight="1" spans="1:26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4"/>
      <c r="Y271" s="4"/>
      <c r="Z271" s="4"/>
    </row>
    <row r="272" ht="15.75" customHeight="1" spans="1:26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4"/>
      <c r="Y272" s="4"/>
      <c r="Z272" s="4"/>
    </row>
    <row r="273" ht="15.75" customHeight="1" spans="1:26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4"/>
      <c r="Y273" s="4"/>
      <c r="Z273" s="4"/>
    </row>
    <row r="274" ht="15.75" customHeight="1" spans="1:26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4"/>
      <c r="Y274" s="4"/>
      <c r="Z274" s="4"/>
    </row>
    <row r="275" ht="15.75" customHeight="1" spans="1:26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4"/>
      <c r="Y275" s="4"/>
      <c r="Z275" s="4"/>
    </row>
    <row r="276" ht="15.75" customHeight="1" spans="1:2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4"/>
      <c r="Y276" s="4"/>
      <c r="Z276" s="4"/>
    </row>
    <row r="277" ht="15.75" customHeight="1" spans="1:26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4"/>
      <c r="Y277" s="4"/>
      <c r="Z277" s="4"/>
    </row>
    <row r="278" ht="15.75" customHeight="1" spans="1:26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1">
    <mergeCell ref="A1:H1"/>
    <mergeCell ref="A2:H2"/>
    <mergeCell ref="A3:H3"/>
    <mergeCell ref="A4:H4"/>
    <mergeCell ref="D6:H6"/>
    <mergeCell ref="A6:A7"/>
    <mergeCell ref="A8:A9"/>
    <mergeCell ref="A10:A11"/>
    <mergeCell ref="A12:A14"/>
    <mergeCell ref="A15:A17"/>
    <mergeCell ref="A18:A20"/>
    <mergeCell ref="A21:A22"/>
    <mergeCell ref="A23:A25"/>
    <mergeCell ref="A26:A29"/>
    <mergeCell ref="A30:A32"/>
    <mergeCell ref="A33:A35"/>
    <mergeCell ref="A36:A38"/>
    <mergeCell ref="A39:A41"/>
    <mergeCell ref="A42:A46"/>
    <mergeCell ref="A47:A49"/>
    <mergeCell ref="A50:A52"/>
    <mergeCell ref="A53:A55"/>
    <mergeCell ref="A56:A58"/>
    <mergeCell ref="A59:A62"/>
    <mergeCell ref="A63:A65"/>
    <mergeCell ref="A66:A68"/>
    <mergeCell ref="A69:A73"/>
    <mergeCell ref="B6:B7"/>
    <mergeCell ref="B8:B9"/>
    <mergeCell ref="B10:B11"/>
    <mergeCell ref="B12:B14"/>
    <mergeCell ref="B15:B17"/>
    <mergeCell ref="B18:B20"/>
    <mergeCell ref="B21:B22"/>
    <mergeCell ref="B23:B25"/>
    <mergeCell ref="B26:B29"/>
    <mergeCell ref="B30:B32"/>
    <mergeCell ref="B33:B35"/>
    <mergeCell ref="B36:B38"/>
    <mergeCell ref="B39:B41"/>
    <mergeCell ref="B42:B46"/>
    <mergeCell ref="B47:B49"/>
    <mergeCell ref="B50:B52"/>
    <mergeCell ref="B53:B55"/>
    <mergeCell ref="B56:B58"/>
    <mergeCell ref="B59:B62"/>
    <mergeCell ref="B63:B65"/>
    <mergeCell ref="B66:B68"/>
    <mergeCell ref="C6:C7"/>
    <mergeCell ref="G8:G9"/>
    <mergeCell ref="G10:G11"/>
    <mergeCell ref="G12:G14"/>
    <mergeCell ref="G15:G17"/>
    <mergeCell ref="G18:G20"/>
    <mergeCell ref="G21:G22"/>
    <mergeCell ref="G23:G25"/>
    <mergeCell ref="G26:G29"/>
    <mergeCell ref="G30:G32"/>
    <mergeCell ref="G33:G35"/>
    <mergeCell ref="G36:G38"/>
    <mergeCell ref="G39:G41"/>
    <mergeCell ref="G42:G46"/>
    <mergeCell ref="G47:G49"/>
    <mergeCell ref="G50:G52"/>
    <mergeCell ref="G53:G55"/>
    <mergeCell ref="G56:G58"/>
    <mergeCell ref="G59:G62"/>
    <mergeCell ref="G63:G65"/>
    <mergeCell ref="G66:G68"/>
    <mergeCell ref="G69:G73"/>
    <mergeCell ref="H8:H9"/>
    <mergeCell ref="H10:H11"/>
    <mergeCell ref="H12:H14"/>
    <mergeCell ref="H15:H17"/>
    <mergeCell ref="H18:H20"/>
    <mergeCell ref="H21:H22"/>
    <mergeCell ref="H23:H25"/>
    <mergeCell ref="H26:H29"/>
    <mergeCell ref="H30:H32"/>
    <mergeCell ref="H33:H35"/>
    <mergeCell ref="H36:H38"/>
    <mergeCell ref="H39:H41"/>
    <mergeCell ref="H42:H46"/>
    <mergeCell ref="H47:H49"/>
    <mergeCell ref="H50:H52"/>
    <mergeCell ref="H53:H55"/>
    <mergeCell ref="H56:H58"/>
    <mergeCell ref="H59:H62"/>
    <mergeCell ref="H63:H65"/>
    <mergeCell ref="H66:H68"/>
    <mergeCell ref="H69:H73"/>
  </mergeCells>
  <pageMargins left="1.02391313839929" right="0.7" top="0.75" bottom="0.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tabSelected="1" workbookViewId="0">
      <selection activeCell="A1" sqref="A1:K1"/>
    </sheetView>
  </sheetViews>
  <sheetFormatPr defaultColWidth="14.4259259259259" defaultRowHeight="15" customHeight="1"/>
  <cols>
    <col min="1" max="1" width="8.71296296296296" customWidth="1"/>
    <col min="2" max="2" width="13.8518518518519" customWidth="1"/>
    <col min="3" max="3" width="8.71296296296296" customWidth="1"/>
    <col min="4" max="4" width="9.13888888888889" customWidth="1"/>
    <col min="5" max="5" width="11.4259259259259" customWidth="1"/>
    <col min="6" max="6" width="4.85185185185185" customWidth="1"/>
    <col min="7" max="7" width="8.71296296296296" customWidth="1"/>
    <col min="8" max="8" width="13.8518518518519" customWidth="1"/>
    <col min="9" max="9" width="8.71296296296296" customWidth="1"/>
    <col min="10" max="10" width="9.13888888888889" customWidth="1"/>
    <col min="11" max="11" width="11.287037037037" customWidth="1"/>
    <col min="12" max="26" width="8.71296296296296" customWidth="1"/>
  </cols>
  <sheetData>
    <row r="1" ht="14.4" spans="1:1">
      <c r="A1" s="1" t="s">
        <v>103</v>
      </c>
    </row>
    <row r="2" ht="17.4" spans="1:1">
      <c r="A2" s="2" t="s">
        <v>104</v>
      </c>
    </row>
    <row r="3" ht="17.4" spans="1:1">
      <c r="A3" s="2" t="s">
        <v>105</v>
      </c>
    </row>
    <row r="4" ht="15.6" spans="1:1">
      <c r="A4" s="3" t="s">
        <v>106</v>
      </c>
    </row>
    <row r="5" ht="15.6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6" spans="1:11">
      <c r="A6" s="3"/>
      <c r="B6" s="3"/>
      <c r="C6" s="3"/>
      <c r="D6" s="3"/>
      <c r="E6" s="3"/>
      <c r="F6" s="4"/>
      <c r="G6" s="4"/>
      <c r="H6" s="4"/>
      <c r="I6" s="4"/>
      <c r="J6" s="4"/>
      <c r="K6" s="4"/>
    </row>
    <row r="7" ht="21.75" customHeight="1" spans="1:11">
      <c r="A7" s="5" t="s">
        <v>0</v>
      </c>
      <c r="B7" s="6"/>
      <c r="C7" s="7" t="s">
        <v>4</v>
      </c>
      <c r="D7" s="8"/>
      <c r="E7" s="6"/>
      <c r="F7" s="4"/>
      <c r="G7" s="5" t="s">
        <v>206</v>
      </c>
      <c r="H7" s="6"/>
      <c r="I7" s="7" t="s">
        <v>5</v>
      </c>
      <c r="J7" s="8"/>
      <c r="K7" s="6"/>
    </row>
    <row r="8" ht="46.8" spans="1:11">
      <c r="A8" s="9" t="s">
        <v>2</v>
      </c>
      <c r="B8" s="10" t="s">
        <v>3</v>
      </c>
      <c r="C8" s="11" t="s">
        <v>6</v>
      </c>
      <c r="D8" s="12" t="s">
        <v>207</v>
      </c>
      <c r="E8" s="12" t="s">
        <v>8</v>
      </c>
      <c r="F8" s="4"/>
      <c r="G8" s="13" t="s">
        <v>2</v>
      </c>
      <c r="H8" s="14" t="s">
        <v>3</v>
      </c>
      <c r="I8" s="11" t="s">
        <v>6</v>
      </c>
      <c r="J8" s="12" t="s">
        <v>208</v>
      </c>
      <c r="K8" s="12" t="s">
        <v>8</v>
      </c>
    </row>
    <row r="9" ht="14.4" spans="1:11">
      <c r="A9" s="15">
        <v>1</v>
      </c>
      <c r="B9" s="16" t="s">
        <v>10</v>
      </c>
      <c r="C9" s="16">
        <v>3</v>
      </c>
      <c r="D9" s="16" t="s">
        <v>209</v>
      </c>
      <c r="E9" s="15">
        <v>7</v>
      </c>
      <c r="F9" s="4"/>
      <c r="G9" s="15">
        <v>1</v>
      </c>
      <c r="H9" s="16" t="s">
        <v>10</v>
      </c>
      <c r="I9" s="16">
        <f t="shared" ref="I9:I15" si="0">C9*3</f>
        <v>9</v>
      </c>
      <c r="J9" s="16" t="s">
        <v>210</v>
      </c>
      <c r="K9" s="15">
        <v>21</v>
      </c>
    </row>
    <row r="10" ht="14.4" spans="1:11">
      <c r="A10" s="17">
        <v>2</v>
      </c>
      <c r="B10" s="18" t="s">
        <v>11</v>
      </c>
      <c r="C10" s="18">
        <v>3</v>
      </c>
      <c r="D10" s="18" t="s">
        <v>211</v>
      </c>
      <c r="E10" s="17">
        <v>19</v>
      </c>
      <c r="F10" s="4"/>
      <c r="G10" s="17">
        <v>2</v>
      </c>
      <c r="H10" s="18" t="s">
        <v>11</v>
      </c>
      <c r="I10" s="18">
        <f t="shared" si="0"/>
        <v>9</v>
      </c>
      <c r="J10" s="18" t="s">
        <v>212</v>
      </c>
      <c r="K10" s="17">
        <v>57</v>
      </c>
    </row>
    <row r="11" ht="14.4" spans="1:11">
      <c r="A11" s="17">
        <v>3</v>
      </c>
      <c r="B11" s="18" t="s">
        <v>12</v>
      </c>
      <c r="C11" s="18">
        <v>3</v>
      </c>
      <c r="D11" s="18"/>
      <c r="E11" s="17">
        <f>C11+D11</f>
        <v>3</v>
      </c>
      <c r="F11" s="4"/>
      <c r="G11" s="17">
        <v>3</v>
      </c>
      <c r="H11" s="18" t="s">
        <v>12</v>
      </c>
      <c r="I11" s="18">
        <f t="shared" si="0"/>
        <v>9</v>
      </c>
      <c r="J11" s="18">
        <f>D11*3</f>
        <v>0</v>
      </c>
      <c r="K11" s="17">
        <v>9</v>
      </c>
    </row>
    <row r="12" ht="14.4" spans="1:11">
      <c r="A12" s="17">
        <v>4</v>
      </c>
      <c r="B12" s="18" t="s">
        <v>13</v>
      </c>
      <c r="C12" s="18">
        <v>3</v>
      </c>
      <c r="D12" s="18" t="s">
        <v>213</v>
      </c>
      <c r="E12" s="17">
        <v>11</v>
      </c>
      <c r="F12" s="4"/>
      <c r="G12" s="17">
        <v>4</v>
      </c>
      <c r="H12" s="18" t="s">
        <v>13</v>
      </c>
      <c r="I12" s="18">
        <f t="shared" si="0"/>
        <v>9</v>
      </c>
      <c r="J12" s="18" t="s">
        <v>214</v>
      </c>
      <c r="K12" s="17">
        <v>33</v>
      </c>
    </row>
    <row r="13" ht="14.4" spans="1:11">
      <c r="A13" s="17">
        <v>5</v>
      </c>
      <c r="B13" s="18" t="s">
        <v>14</v>
      </c>
      <c r="C13" s="18">
        <v>3</v>
      </c>
      <c r="D13" s="18"/>
      <c r="E13" s="17">
        <v>3</v>
      </c>
      <c r="F13" s="4"/>
      <c r="G13" s="17">
        <v>5</v>
      </c>
      <c r="H13" s="18" t="s">
        <v>14</v>
      </c>
      <c r="I13" s="18">
        <f t="shared" si="0"/>
        <v>9</v>
      </c>
      <c r="J13" s="18">
        <f>D13*3</f>
        <v>0</v>
      </c>
      <c r="K13" s="17">
        <v>9</v>
      </c>
    </row>
    <row r="14" ht="14.4" spans="1:11">
      <c r="A14" s="17">
        <v>6</v>
      </c>
      <c r="B14" s="18" t="s">
        <v>15</v>
      </c>
      <c r="C14" s="18"/>
      <c r="D14" s="18" t="s">
        <v>211</v>
      </c>
      <c r="E14" s="17">
        <v>16</v>
      </c>
      <c r="F14" s="4"/>
      <c r="G14" s="17">
        <v>6</v>
      </c>
      <c r="H14" s="18" t="s">
        <v>15</v>
      </c>
      <c r="I14" s="18">
        <f t="shared" si="0"/>
        <v>0</v>
      </c>
      <c r="J14" s="18" t="s">
        <v>212</v>
      </c>
      <c r="K14" s="17">
        <v>48</v>
      </c>
    </row>
    <row r="15" ht="14.4" spans="1:11">
      <c r="A15" s="17">
        <v>7</v>
      </c>
      <c r="B15" s="18" t="s">
        <v>16</v>
      </c>
      <c r="C15" s="18">
        <v>1</v>
      </c>
      <c r="D15" s="18"/>
      <c r="E15" s="17">
        <v>1</v>
      </c>
      <c r="F15" s="4"/>
      <c r="G15" s="19">
        <v>7</v>
      </c>
      <c r="H15" s="20" t="s">
        <v>16</v>
      </c>
      <c r="I15" s="20">
        <f t="shared" si="0"/>
        <v>3</v>
      </c>
      <c r="J15" s="18">
        <f>D15*3</f>
        <v>0</v>
      </c>
      <c r="K15" s="17">
        <v>3</v>
      </c>
    </row>
    <row r="16" ht="14.4" spans="1:11">
      <c r="A16" s="21" t="s">
        <v>17</v>
      </c>
      <c r="B16" s="8"/>
      <c r="C16" s="8"/>
      <c r="D16" s="6"/>
      <c r="E16" s="22">
        <f>SUM(E9:E15)</f>
        <v>60</v>
      </c>
      <c r="F16" s="4"/>
      <c r="G16" s="23" t="s">
        <v>18</v>
      </c>
      <c r="H16" s="8"/>
      <c r="I16" s="8"/>
      <c r="J16" s="6"/>
      <c r="K16" s="28">
        <f>SUM(K9:K15)</f>
        <v>180</v>
      </c>
    </row>
    <row r="17" ht="14.4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4.4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6" spans="1:11">
      <c r="A19" s="5" t="s">
        <v>51</v>
      </c>
      <c r="B19" s="6"/>
      <c r="C19" s="7" t="s">
        <v>4</v>
      </c>
      <c r="D19" s="8"/>
      <c r="E19" s="6"/>
      <c r="F19" s="4"/>
      <c r="G19" s="5" t="s">
        <v>215</v>
      </c>
      <c r="H19" s="6"/>
      <c r="I19" s="7" t="s">
        <v>52</v>
      </c>
      <c r="J19" s="8"/>
      <c r="K19" s="6"/>
    </row>
    <row r="20" ht="31.2" spans="1:11">
      <c r="A20" s="9" t="s">
        <v>2</v>
      </c>
      <c r="B20" s="10" t="s">
        <v>3</v>
      </c>
      <c r="C20" s="11" t="s">
        <v>6</v>
      </c>
      <c r="D20" s="12" t="s">
        <v>7</v>
      </c>
      <c r="E20" s="12" t="s">
        <v>8</v>
      </c>
      <c r="F20" s="4"/>
      <c r="G20" s="9" t="s">
        <v>2</v>
      </c>
      <c r="H20" s="10" t="s">
        <v>3</v>
      </c>
      <c r="I20" s="11" t="s">
        <v>6</v>
      </c>
      <c r="J20" s="11" t="s">
        <v>9</v>
      </c>
      <c r="K20" s="12" t="s">
        <v>8</v>
      </c>
    </row>
    <row r="21" ht="15.75" customHeight="1" spans="1:11">
      <c r="A21" s="17">
        <v>1</v>
      </c>
      <c r="B21" s="18" t="s">
        <v>53</v>
      </c>
      <c r="C21" s="18">
        <v>4</v>
      </c>
      <c r="D21" s="18" t="s">
        <v>211</v>
      </c>
      <c r="E21" s="17">
        <v>20</v>
      </c>
      <c r="F21" s="4"/>
      <c r="G21" s="17">
        <v>1</v>
      </c>
      <c r="H21" s="18" t="s">
        <v>53</v>
      </c>
      <c r="I21" s="18">
        <f t="shared" ref="I21:I26" si="1">C21*2</f>
        <v>8</v>
      </c>
      <c r="J21" s="18" t="s">
        <v>216</v>
      </c>
      <c r="K21" s="17">
        <v>40</v>
      </c>
    </row>
    <row r="22" ht="15.75" customHeight="1" spans="1:11">
      <c r="A22" s="17">
        <v>2</v>
      </c>
      <c r="B22" s="18" t="s">
        <v>54</v>
      </c>
      <c r="C22" s="18">
        <v>4</v>
      </c>
      <c r="D22" s="18" t="s">
        <v>213</v>
      </c>
      <c r="E22" s="17">
        <v>12</v>
      </c>
      <c r="F22" s="4"/>
      <c r="G22" s="17">
        <v>2</v>
      </c>
      <c r="H22" s="18" t="s">
        <v>54</v>
      </c>
      <c r="I22" s="18">
        <f t="shared" si="1"/>
        <v>8</v>
      </c>
      <c r="J22" s="18" t="s">
        <v>217</v>
      </c>
      <c r="K22" s="17">
        <v>24</v>
      </c>
    </row>
    <row r="23" ht="15.75" customHeight="1" spans="1:11">
      <c r="A23" s="17">
        <v>3</v>
      </c>
      <c r="B23" s="18" t="s">
        <v>55</v>
      </c>
      <c r="C23" s="18">
        <v>4</v>
      </c>
      <c r="D23" s="18"/>
      <c r="E23" s="17">
        <v>4</v>
      </c>
      <c r="F23" s="4"/>
      <c r="G23" s="17">
        <v>3</v>
      </c>
      <c r="H23" s="18" t="s">
        <v>55</v>
      </c>
      <c r="I23" s="18">
        <f t="shared" si="1"/>
        <v>8</v>
      </c>
      <c r="J23" s="18">
        <f t="shared" ref="J23:J24" si="2">D23*2</f>
        <v>0</v>
      </c>
      <c r="K23" s="17">
        <f t="shared" ref="K23:K24" si="3">I23+J23</f>
        <v>8</v>
      </c>
    </row>
    <row r="24" ht="15.75" customHeight="1" spans="1:11">
      <c r="A24" s="17">
        <v>4</v>
      </c>
      <c r="B24" s="18" t="s">
        <v>56</v>
      </c>
      <c r="C24" s="18">
        <v>4</v>
      </c>
      <c r="D24" s="18"/>
      <c r="E24" s="17">
        <v>4</v>
      </c>
      <c r="F24" s="4"/>
      <c r="G24" s="17">
        <v>4</v>
      </c>
      <c r="H24" s="18" t="s">
        <v>56</v>
      </c>
      <c r="I24" s="18">
        <f t="shared" si="1"/>
        <v>8</v>
      </c>
      <c r="J24" s="18">
        <f t="shared" si="2"/>
        <v>0</v>
      </c>
      <c r="K24" s="17">
        <f t="shared" si="3"/>
        <v>8</v>
      </c>
    </row>
    <row r="25" ht="15.75" customHeight="1" spans="1:11">
      <c r="A25" s="17">
        <v>5</v>
      </c>
      <c r="B25" s="18" t="s">
        <v>57</v>
      </c>
      <c r="C25" s="18"/>
      <c r="D25" s="18" t="s">
        <v>211</v>
      </c>
      <c r="E25" s="17">
        <v>16</v>
      </c>
      <c r="F25" s="4"/>
      <c r="G25" s="17">
        <v>5</v>
      </c>
      <c r="H25" s="18" t="s">
        <v>57</v>
      </c>
      <c r="I25" s="18">
        <f t="shared" si="1"/>
        <v>0</v>
      </c>
      <c r="J25" s="18" t="s">
        <v>216</v>
      </c>
      <c r="K25" s="17">
        <v>32</v>
      </c>
    </row>
    <row r="26" ht="15.75" customHeight="1" spans="1:11">
      <c r="A26" s="17">
        <v>6</v>
      </c>
      <c r="B26" s="18" t="s">
        <v>58</v>
      </c>
      <c r="C26" s="18"/>
      <c r="D26" s="18"/>
      <c r="E26" s="17">
        <v>0</v>
      </c>
      <c r="F26" s="4"/>
      <c r="G26" s="17">
        <v>6</v>
      </c>
      <c r="H26" s="18" t="s">
        <v>58</v>
      </c>
      <c r="I26" s="18">
        <f t="shared" si="1"/>
        <v>0</v>
      </c>
      <c r="J26" s="18">
        <f>D26*2</f>
        <v>0</v>
      </c>
      <c r="K26" s="17">
        <f>I26+J26</f>
        <v>0</v>
      </c>
    </row>
    <row r="27" ht="15.75" customHeight="1" spans="1:11">
      <c r="A27" s="21" t="s">
        <v>17</v>
      </c>
      <c r="B27" s="8"/>
      <c r="C27" s="8"/>
      <c r="D27" s="6"/>
      <c r="E27" s="22">
        <f>SUM(E21:E26)</f>
        <v>56</v>
      </c>
      <c r="F27" s="4"/>
      <c r="G27" s="23" t="s">
        <v>59</v>
      </c>
      <c r="H27" s="8"/>
      <c r="I27" s="8"/>
      <c r="J27" s="6"/>
      <c r="K27" s="22">
        <f>SUM(K21:K26)</f>
        <v>112</v>
      </c>
    </row>
    <row r="28" ht="15.75" customHeight="1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 spans="1:11">
      <c r="A29" s="4"/>
      <c r="B29" s="24"/>
      <c r="C29" s="4"/>
      <c r="D29" s="4"/>
      <c r="E29" s="4"/>
      <c r="F29" s="4"/>
      <c r="G29" s="4"/>
      <c r="H29" s="24"/>
      <c r="I29" s="4"/>
      <c r="J29" s="4"/>
      <c r="K29" s="4"/>
    </row>
    <row r="30" ht="15.75" customHeight="1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 spans="1:11">
      <c r="A31" s="5" t="s">
        <v>75</v>
      </c>
      <c r="B31" s="6"/>
      <c r="C31" s="7" t="s">
        <v>4</v>
      </c>
      <c r="D31" s="8"/>
      <c r="E31" s="6"/>
      <c r="F31" s="4"/>
      <c r="G31" s="5" t="s">
        <v>218</v>
      </c>
      <c r="H31" s="6"/>
      <c r="I31" s="7" t="s">
        <v>76</v>
      </c>
      <c r="J31" s="8"/>
      <c r="K31" s="6"/>
    </row>
    <row r="32" ht="15.75" customHeight="1" spans="1:11">
      <c r="A32" s="9" t="s">
        <v>2</v>
      </c>
      <c r="B32" s="10" t="s">
        <v>3</v>
      </c>
      <c r="C32" s="11" t="s">
        <v>6</v>
      </c>
      <c r="D32" s="12" t="s">
        <v>77</v>
      </c>
      <c r="E32" s="12" t="s">
        <v>8</v>
      </c>
      <c r="F32" s="4"/>
      <c r="G32" s="9" t="s">
        <v>2</v>
      </c>
      <c r="H32" s="10" t="s">
        <v>3</v>
      </c>
      <c r="I32" s="11" t="s">
        <v>6</v>
      </c>
      <c r="J32" s="11" t="s">
        <v>9</v>
      </c>
      <c r="K32" s="12" t="s">
        <v>8</v>
      </c>
    </row>
    <row r="33" ht="15.75" customHeight="1" spans="1:11">
      <c r="A33" s="17">
        <v>1</v>
      </c>
      <c r="B33" s="18" t="s">
        <v>78</v>
      </c>
      <c r="C33" s="18">
        <v>3</v>
      </c>
      <c r="D33" s="18"/>
      <c r="E33" s="17">
        <f t="shared" ref="E33:E36" si="4">C33+D33</f>
        <v>3</v>
      </c>
      <c r="F33" s="4"/>
      <c r="G33" s="17">
        <v>1</v>
      </c>
      <c r="H33" s="18" t="s">
        <v>78</v>
      </c>
      <c r="I33" s="18">
        <f t="shared" ref="I33:J33" si="5">C33*2</f>
        <v>6</v>
      </c>
      <c r="J33" s="18">
        <f t="shared" si="5"/>
        <v>0</v>
      </c>
      <c r="K33" s="17">
        <f t="shared" ref="K33:K36" si="6">I33+J33</f>
        <v>6</v>
      </c>
    </row>
    <row r="34" ht="15.75" customHeight="1" spans="1:11">
      <c r="A34" s="17">
        <v>2</v>
      </c>
      <c r="B34" s="18" t="s">
        <v>79</v>
      </c>
      <c r="C34" s="18">
        <v>3</v>
      </c>
      <c r="D34" s="18"/>
      <c r="E34" s="17">
        <f t="shared" si="4"/>
        <v>3</v>
      </c>
      <c r="F34" s="4"/>
      <c r="G34" s="17">
        <v>2</v>
      </c>
      <c r="H34" s="18" t="s">
        <v>79</v>
      </c>
      <c r="I34" s="18">
        <f t="shared" ref="I34:J34" si="7">C34*2</f>
        <v>6</v>
      </c>
      <c r="J34" s="18">
        <f t="shared" si="7"/>
        <v>0</v>
      </c>
      <c r="K34" s="17">
        <f t="shared" si="6"/>
        <v>6</v>
      </c>
    </row>
    <row r="35" ht="15.75" customHeight="1" spans="1:11">
      <c r="A35" s="17">
        <v>3</v>
      </c>
      <c r="B35" s="18" t="s">
        <v>80</v>
      </c>
      <c r="C35" s="18">
        <v>3</v>
      </c>
      <c r="D35" s="18"/>
      <c r="E35" s="17">
        <f t="shared" si="4"/>
        <v>3</v>
      </c>
      <c r="F35" s="4"/>
      <c r="G35" s="17">
        <v>3</v>
      </c>
      <c r="H35" s="18" t="s">
        <v>80</v>
      </c>
      <c r="I35" s="18">
        <f t="shared" ref="I35:J35" si="8">C35*2</f>
        <v>6</v>
      </c>
      <c r="J35" s="18">
        <f t="shared" si="8"/>
        <v>0</v>
      </c>
      <c r="K35" s="17">
        <f t="shared" si="6"/>
        <v>6</v>
      </c>
    </row>
    <row r="36" ht="15.75" customHeight="1" spans="1:11">
      <c r="A36" s="17">
        <v>4</v>
      </c>
      <c r="B36" s="18" t="s">
        <v>81</v>
      </c>
      <c r="C36" s="18">
        <v>3</v>
      </c>
      <c r="D36" s="18"/>
      <c r="E36" s="17">
        <f t="shared" si="4"/>
        <v>3</v>
      </c>
      <c r="F36" s="4"/>
      <c r="G36" s="17">
        <v>4</v>
      </c>
      <c r="H36" s="18" t="s">
        <v>81</v>
      </c>
      <c r="I36" s="18">
        <f t="shared" ref="I36:J36" si="9">C36*2</f>
        <v>6</v>
      </c>
      <c r="J36" s="18">
        <f t="shared" si="9"/>
        <v>0</v>
      </c>
      <c r="K36" s="17">
        <f t="shared" si="6"/>
        <v>6</v>
      </c>
    </row>
    <row r="37" ht="15.75" customHeight="1" spans="1:11">
      <c r="A37" s="17">
        <v>5</v>
      </c>
      <c r="B37" s="18" t="s">
        <v>82</v>
      </c>
      <c r="C37" s="18"/>
      <c r="D37" s="18" t="s">
        <v>213</v>
      </c>
      <c r="E37" s="17">
        <v>8</v>
      </c>
      <c r="F37" s="4"/>
      <c r="G37" s="17">
        <v>5</v>
      </c>
      <c r="H37" s="18" t="s">
        <v>82</v>
      </c>
      <c r="I37" s="18">
        <f t="shared" ref="I37:I39" si="10">C37*2</f>
        <v>0</v>
      </c>
      <c r="J37" s="18" t="s">
        <v>217</v>
      </c>
      <c r="K37" s="17">
        <v>16</v>
      </c>
    </row>
    <row r="38" ht="15.75" customHeight="1" spans="1:11">
      <c r="A38" s="17">
        <v>6</v>
      </c>
      <c r="B38" s="18" t="s">
        <v>83</v>
      </c>
      <c r="C38" s="18"/>
      <c r="D38" s="18" t="s">
        <v>213</v>
      </c>
      <c r="E38" s="17">
        <v>8</v>
      </c>
      <c r="F38" s="4"/>
      <c r="G38" s="17">
        <v>6</v>
      </c>
      <c r="H38" s="18" t="s">
        <v>83</v>
      </c>
      <c r="I38" s="18">
        <f t="shared" si="10"/>
        <v>0</v>
      </c>
      <c r="J38" s="18" t="s">
        <v>217</v>
      </c>
      <c r="K38" s="17">
        <v>16</v>
      </c>
    </row>
    <row r="39" ht="15.75" customHeight="1" spans="1:11">
      <c r="A39" s="17">
        <v>7</v>
      </c>
      <c r="B39" s="18" t="s">
        <v>84</v>
      </c>
      <c r="C39" s="18"/>
      <c r="D39" s="18" t="s">
        <v>219</v>
      </c>
      <c r="E39" s="17">
        <v>24</v>
      </c>
      <c r="F39" s="4"/>
      <c r="G39" s="17">
        <v>7</v>
      </c>
      <c r="H39" s="18" t="s">
        <v>84</v>
      </c>
      <c r="I39" s="18">
        <f t="shared" si="10"/>
        <v>0</v>
      </c>
      <c r="J39" s="18" t="s">
        <v>220</v>
      </c>
      <c r="K39" s="17">
        <v>48</v>
      </c>
    </row>
    <row r="40" ht="15.75" customHeight="1" spans="1:11">
      <c r="A40" s="21" t="s">
        <v>17</v>
      </c>
      <c r="B40" s="8"/>
      <c r="C40" s="8"/>
      <c r="D40" s="6"/>
      <c r="E40" s="22">
        <f>SUM(E33:E39)</f>
        <v>52</v>
      </c>
      <c r="F40" s="4"/>
      <c r="G40" s="21" t="s">
        <v>85</v>
      </c>
      <c r="H40" s="8"/>
      <c r="I40" s="8"/>
      <c r="J40" s="6"/>
      <c r="K40" s="22">
        <f>SUM(K33:K39)</f>
        <v>104</v>
      </c>
    </row>
    <row r="41" ht="15.75" customHeight="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/>
    <row r="43" ht="15.75" customHeight="1" spans="2:5">
      <c r="B43" s="25" t="s">
        <v>98</v>
      </c>
      <c r="C43" s="22" t="s">
        <v>99</v>
      </c>
      <c r="D43" s="25" t="s">
        <v>100</v>
      </c>
      <c r="E43" s="25" t="s">
        <v>101</v>
      </c>
    </row>
    <row r="44" ht="15.75" customHeight="1" spans="2:5">
      <c r="B44" s="26" t="s">
        <v>0</v>
      </c>
      <c r="C44" s="27">
        <f>K16</f>
        <v>180</v>
      </c>
      <c r="D44" s="27">
        <v>159</v>
      </c>
      <c r="E44" s="27">
        <v>21</v>
      </c>
    </row>
    <row r="45" ht="15.75" customHeight="1" spans="2:5">
      <c r="B45" s="26" t="s">
        <v>51</v>
      </c>
      <c r="C45" s="27">
        <f>K27</f>
        <v>112</v>
      </c>
      <c r="D45" s="27">
        <v>112</v>
      </c>
      <c r="E45" s="27">
        <v>0</v>
      </c>
    </row>
    <row r="46" ht="15.75" customHeight="1" spans="2:5">
      <c r="B46" s="26" t="s">
        <v>75</v>
      </c>
      <c r="C46" s="27">
        <f>K40</f>
        <v>104</v>
      </c>
      <c r="D46" s="27">
        <v>104</v>
      </c>
      <c r="E46" s="27">
        <v>0</v>
      </c>
    </row>
    <row r="47" ht="15.75" customHeight="1" spans="2:5">
      <c r="B47" s="25" t="s">
        <v>102</v>
      </c>
      <c r="C47" s="22">
        <f t="shared" ref="C47:E47" si="11">SUM(C44:C46)</f>
        <v>396</v>
      </c>
      <c r="D47" s="27">
        <f t="shared" si="11"/>
        <v>375</v>
      </c>
      <c r="E47" s="27">
        <f t="shared" si="11"/>
        <v>21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K1"/>
    <mergeCell ref="A2:K2"/>
    <mergeCell ref="A3:K3"/>
    <mergeCell ref="A4:K4"/>
    <mergeCell ref="A7:B7"/>
    <mergeCell ref="C7:E7"/>
    <mergeCell ref="G7:H7"/>
    <mergeCell ref="I7:K7"/>
    <mergeCell ref="A16:D16"/>
    <mergeCell ref="G16:J16"/>
    <mergeCell ref="A19:B19"/>
    <mergeCell ref="C19:E19"/>
    <mergeCell ref="G19:H19"/>
    <mergeCell ref="I19:K19"/>
    <mergeCell ref="A27:D27"/>
    <mergeCell ref="G27:J27"/>
    <mergeCell ref="A31:B31"/>
    <mergeCell ref="C31:E31"/>
    <mergeCell ref="G31:H31"/>
    <mergeCell ref="I31:K31"/>
    <mergeCell ref="A40:D40"/>
    <mergeCell ref="G40:J40"/>
  </mergeCells>
  <pageMargins left="0.7" right="0.7" top="0.5" bottom="0.5" header="0" footer="0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 LOAD</vt:lpstr>
      <vt:lpstr>TE LOAD</vt:lpstr>
      <vt:lpstr>BE LOAD</vt:lpstr>
      <vt:lpstr>LOAD DISTRIBUTION-NBA</vt:lpstr>
      <vt:lpstr>LOAD DISTRIBUTION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SULBHA</dc:creator>
  <cp:lastModifiedBy>Kanshichandu Nale (Kanshi)</cp:lastModifiedBy>
  <dcterms:created xsi:type="dcterms:W3CDTF">2019-07-04T06:42:00Z</dcterms:created>
  <dcterms:modified xsi:type="dcterms:W3CDTF">2026-01-27T18:03:15Z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F9468EC254D64786842563BEF90BF603_12</vt:lpwstr>
  </property>
  <property fmtid="{D5CDD505-2E9C-101B-9397-08002B2CF9AE}" pid="3" name="KSOProductBuildVer">
    <vt:lpwstr>1033-12.2.0.23196</vt:lpwstr>
  </property>
</Properties>
</file>